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m\Final Year Project\Retail-Stock-Analytics-Dashboard\evaluation_results\"/>
    </mc:Choice>
  </mc:AlternateContent>
  <xr:revisionPtr revIDLastSave="0" documentId="13_ncr:1_{F64C4231-AB42-44C4-B4DB-F0221572EA21}" xr6:coauthVersionLast="47" xr6:coauthVersionMax="47" xr10:uidLastSave="{00000000-0000-0000-0000-000000000000}"/>
  <bookViews>
    <workbookView xWindow="-120" yWindow="-120" windowWidth="29040" windowHeight="15720" activeTab="6" xr2:uid="{11AB1E82-AA25-430D-9850-B42BE7948BE5}"/>
  </bookViews>
  <sheets>
    <sheet name="Table 1" sheetId="10" r:id="rId1"/>
    <sheet name="Table 2" sheetId="11" r:id="rId2"/>
    <sheet name="Table3" sheetId="12" r:id="rId3"/>
    <sheet name="Table 4" sheetId="13" r:id="rId4"/>
    <sheet name="Sheet14" sheetId="14" r:id="rId5"/>
    <sheet name="Sheet15" sheetId="15" r:id="rId6"/>
    <sheet name="Sheet1" sheetId="16" r:id="rId7"/>
    <sheet name="Accuracy - &gt;" sheetId="9" r:id="rId8"/>
    <sheet name="signals" sheetId="5" r:id="rId9"/>
    <sheet name="summary" sheetId="4" r:id="rId10"/>
    <sheet name="kadia" sheetId="3" r:id="rId11"/>
    <sheet name="agreement_matrix" sheetId="2" r:id="rId12"/>
    <sheet name="Sheet6" sheetId="6" r:id="rId13"/>
    <sheet name="Accuracy" sheetId="7" r:id="rId14"/>
    <sheet name="Sharpe" sheetId="8" r:id="rId15"/>
  </sheets>
  <externalReferences>
    <externalReference r:id="rId16"/>
  </externalReferences>
  <calcPr calcId="19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8" l="1"/>
  <c r="B11" i="8"/>
  <c r="B10" i="8"/>
  <c r="B9" i="8"/>
  <c r="B8" i="8"/>
  <c r="B7" i="8"/>
  <c r="B6" i="8"/>
  <c r="B5" i="8"/>
  <c r="B4" i="8"/>
  <c r="B3" i="8"/>
  <c r="B10" i="7"/>
  <c r="B9" i="7"/>
  <c r="B8" i="7"/>
  <c r="B7" i="7"/>
  <c r="B6" i="7"/>
  <c r="B5" i="7"/>
  <c r="B4" i="7"/>
  <c r="B3" i="7"/>
  <c r="G68" i="6"/>
  <c r="E4" i="6"/>
  <c r="E5" i="6"/>
  <c r="E3" i="6"/>
  <c r="C6" i="6"/>
  <c r="D6" i="6"/>
  <c r="B6" i="6"/>
  <c r="C7" i="6"/>
  <c r="D7" i="6"/>
  <c r="B7" i="6"/>
  <c r="F4" i="6"/>
  <c r="F5" i="6"/>
  <c r="F3" i="6"/>
  <c r="E6" i="6" l="1"/>
</calcChain>
</file>

<file path=xl/sharedStrings.xml><?xml version="1.0" encoding="utf-8"?>
<sst xmlns="http://schemas.openxmlformats.org/spreadsheetml/2006/main" count="427" uniqueCount="255">
  <si>
    <t>rule\rl</t>
  </si>
  <si>
    <t>BUY</t>
  </si>
  <si>
    <t>SELL</t>
  </si>
  <si>
    <t>HOLD</t>
  </si>
  <si>
    <t>ticker</t>
  </si>
  <si>
    <t>n_trades</t>
  </si>
  <si>
    <t>accuracy_pct</t>
  </si>
  <si>
    <t>avg_pnl_pct</t>
  </si>
  <si>
    <t>total_return_pct</t>
  </si>
  <si>
    <t>sharpe</t>
  </si>
  <si>
    <t>sortino</t>
  </si>
  <si>
    <t>AAPL</t>
  </si>
  <si>
    <t>APP</t>
  </si>
  <si>
    <t>GOOGL</t>
  </si>
  <si>
    <t>BAX</t>
  </si>
  <si>
    <t>JPM</t>
  </si>
  <si>
    <t>CVNA</t>
  </si>
  <si>
    <t>DASH</t>
  </si>
  <si>
    <t>ISRG</t>
  </si>
  <si>
    <t>AMZN</t>
  </si>
  <si>
    <t>TSLA</t>
  </si>
  <si>
    <t>ALL</t>
  </si>
  <si>
    <t>n_signals</t>
  </si>
  <si>
    <t>avg_markout_1d</t>
  </si>
  <si>
    <t>win_rate_1d</t>
  </si>
  <si>
    <t>avg_markout_2d</t>
  </si>
  <si>
    <t>win_rate_2d</t>
  </si>
  <si>
    <t>avg_markout_3d</t>
  </si>
  <si>
    <t>win_rate_3d</t>
  </si>
  <si>
    <t>avg_markout_5d</t>
  </si>
  <si>
    <t>win_rate_5d</t>
  </si>
  <si>
    <t>avg_markout_10d</t>
  </si>
  <si>
    <t>win_rate_10d</t>
  </si>
  <si>
    <t>avg_markout_21d</t>
  </si>
  <si>
    <t>win_rate_21d</t>
  </si>
  <si>
    <t>date</t>
  </si>
  <si>
    <t>signal</t>
  </si>
  <si>
    <t>close</t>
  </si>
  <si>
    <t>markout_1d</t>
  </si>
  <si>
    <t>markout_2d</t>
  </si>
  <si>
    <t>markout_3d</t>
  </si>
  <si>
    <t>markout_5d</t>
  </si>
  <si>
    <t>markout_10d</t>
  </si>
  <si>
    <t>markout_21d</t>
  </si>
  <si>
    <t>Grand Total</t>
  </si>
  <si>
    <t>Buy</t>
  </si>
  <si>
    <t>Sell</t>
  </si>
  <si>
    <t>Hold</t>
  </si>
  <si>
    <t>Perct</t>
  </si>
  <si>
    <t xml:space="preserve">Rule | RL </t>
  </si>
  <si>
    <t>Sum</t>
  </si>
  <si>
    <t>Sum of avg_markout_1d</t>
  </si>
  <si>
    <t>Sum of avg_markout_2d</t>
  </si>
  <si>
    <t>Sum of avg_markout_3d</t>
  </si>
  <si>
    <t>Sum of avg_markout_5d</t>
  </si>
  <si>
    <t>Sum of avg_markout_10d</t>
  </si>
  <si>
    <t>Sum of avg_markout_21d</t>
  </si>
  <si>
    <t>Row Labels</t>
  </si>
  <si>
    <t>Sum of win_rate_1d</t>
  </si>
  <si>
    <t>Sum of win_rate_2d</t>
  </si>
  <si>
    <t>Sum of win_rate_3d</t>
  </si>
  <si>
    <t>Sum of win_rate_5d</t>
  </si>
  <si>
    <t>Sum of win_rate_10d</t>
  </si>
  <si>
    <t>Sum of win_rate_21d</t>
  </si>
  <si>
    <t>Horizon (days)</t>
  </si>
  <si>
    <t>Avg Markout (%)</t>
  </si>
  <si>
    <t>Win Rate (%)</t>
  </si>
  <si>
    <t>Baseline (%)</t>
  </si>
  <si>
    <t>Average of avg_markout_1d</t>
  </si>
  <si>
    <t>Ticker</t>
  </si>
  <si>
    <t>n</t>
  </si>
  <si>
    <t>1d</t>
  </si>
  <si>
    <t>2d</t>
  </si>
  <si>
    <t>3d</t>
  </si>
  <si>
    <t>5d</t>
  </si>
  <si>
    <t>10d</t>
  </si>
  <si>
    <t>21d</t>
  </si>
  <si>
    <t>Accuracy (%)</t>
  </si>
  <si>
    <t>Kadia benchmark (%)</t>
  </si>
  <si>
    <t>Sharpe (annualised)</t>
  </si>
  <si>
    <t>Kadia benchmark</t>
  </si>
  <si>
    <t>Reference</t>
  </si>
  <si>
    <t>Area</t>
  </si>
  <si>
    <t>Key insight</t>
  </si>
  <si>
    <t>Problem</t>
  </si>
  <si>
    <t>A non-trivial fraction of investors are "inattentive" to disclosures</t>
  </si>
  <si>
    <t>RL on technical layer</t>
  </si>
  <si>
    <t>Fundamental</t>
  </si>
  <si>
    <t>Sentiment</t>
  </si>
  <si>
    <t>Technical</t>
  </si>
  <si>
    <t>Feature</t>
  </si>
  <si>
    <t>Trading View</t>
  </si>
  <si>
    <t>Yahoo Finance</t>
  </si>
  <si>
    <t>Simply Wall St</t>
  </si>
  <si>
    <t>Stock Rover</t>
  </si>
  <si>
    <t>This project</t>
  </si>
  <si>
    <t>Technical indicators</t>
  </si>
  <si>
    <t>Extensive</t>
  </si>
  <si>
    <t>Basic</t>
  </si>
  <si>
    <t>Limited</t>
  </si>
  <si>
    <t>Moderate</t>
  </si>
  <si>
    <t>EMA + ATV + RSI pipeline</t>
  </si>
  <si>
    <t>Custom rules</t>
  </si>
  <si>
    <t>Yes (Pine)</t>
  </si>
  <si>
    <t>No</t>
  </si>
  <si>
    <t>Python source, extensible</t>
  </si>
  <si>
    <t>Fundamental scoring</t>
  </si>
  <si>
    <t>Snowflake (visual)</t>
  </si>
  <si>
    <t>Extensive (600+ metrics)</t>
  </si>
  <si>
    <t>Reinforcement learning</t>
  </si>
  <si>
    <t>News sentiment</t>
  </si>
  <si>
    <t>Community feed</t>
  </si>
  <si>
    <t>Plain-English commentary</t>
  </si>
  <si>
    <t>Yes (visual only)</t>
  </si>
  <si>
    <t>Dynamic, per layer</t>
  </si>
  <si>
    <t>Open source</t>
  </si>
  <si>
    <t>Yes</t>
  </si>
  <si>
    <t>Cost</t>
  </si>
  <si>
    <t>Free / paid tiers</t>
  </si>
  <si>
    <t>Free</t>
  </si>
  <si>
    <t>Data Source</t>
  </si>
  <si>
    <t>Features Retrieved</t>
  </si>
  <si>
    <t>Access Method</t>
  </si>
  <si>
    <t>Cache TTL</t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</si>
  <si>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Daily price &amp; volume (High, Low, Close, Volume)</t>
    </r>
  </si>
  <si>
    <t>yfinance library</t>
  </si>
  <si>
    <t>1 hour</t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</si>
  <si>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Company description &amp; sector</t>
    </r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</si>
  <si>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Valuation &amp; risk ratios (P/E, PEG, P/B, Market Cap, Beta)</t>
    </r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</si>
  <si>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 xml:space="preserve">Financial statements </t>
    </r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</si>
  <si>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S&amp;P 500 index data (2 years) &amp; VIX index data (2 years)</t>
    </r>
  </si>
  <si>
    <t>Finnhub</t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</si>
  <si>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Company logo URL</t>
    </r>
  </si>
  <si>
    <t>REST API (API key)</t>
  </si>
  <si>
    <t>30 minutes</t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</si>
  <si>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News articles (headline, summary, source, link, timestamp)</t>
    </r>
  </si>
  <si>
    <t>Wikipedia</t>
  </si>
  <si>
    <r>
      <t>·</t>
    </r>
    <r>
      <rPr>
        <sz val="7"/>
        <color rgb="FF404040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S&amp;P 500 and Nasdaq-100 ticker lists</t>
    </r>
  </si>
  <si>
    <t>HTML scraping via pandas</t>
  </si>
  <si>
    <t>24 hours</t>
  </si>
  <si>
    <t>Description</t>
  </si>
  <si>
    <t>SMA Cross Signal</t>
  </si>
  <si>
    <t>Crossover state: +1 (golden), −1 (death), 0 (none)</t>
  </si>
  <si>
    <t>ATV Slope (norm.)</t>
  </si>
  <si>
    <t>10-day linear regression slope of ATV-20, divided by its standard deviation</t>
  </si>
  <si>
    <t>1-Day Return</t>
  </si>
  <si>
    <t>Percentage change in closing price from t−1 to t</t>
  </si>
  <si>
    <t>5-Day Return</t>
  </si>
  <si>
    <t>Percentage change in closing price from t−5 to t</t>
  </si>
  <si>
    <t>RSI (norm.)</t>
  </si>
  <si>
    <t>14-period RSI rescaled from [0, 100] to [−1, +1]</t>
  </si>
  <si>
    <t>Relative Volume</t>
  </si>
  <si>
    <t>Current volume divided by 20-day average volume, clipped to [0, 5]</t>
  </si>
  <si>
    <t>RL Prediction</t>
  </si>
  <si>
    <t>Decision Path</t>
  </si>
  <si>
    <t>Confidence (%)</t>
  </si>
  <si>
    <t>Rationale</t>
  </si>
  <si>
    <t>Matches rule (same action)</t>
  </si>
  <si>
    <t>Rule fires + RL confirms</t>
  </si>
  <si>
    <t>N/A</t>
  </si>
  <si>
    <t>Rule fires (RL not used)</t>
  </si>
  <si>
    <t>Rule wins over RL dissent</t>
  </si>
  <si>
    <t>Dimension</t>
  </si>
  <si>
    <t>Test</t>
  </si>
  <si>
    <t>Metric</t>
  </si>
  <si>
    <t>Passing Condition</t>
  </si>
  <si>
    <t>Profitability</t>
  </si>
  <si>
    <t>Positive profit</t>
  </si>
  <si>
    <t>Return on Assets (ROA)</t>
  </si>
  <si>
    <t>ROA &gt; 0</t>
  </si>
  <si>
    <t>Positive cash generation</t>
  </si>
  <si>
    <t>Operating Cash Flow (CFO)</t>
  </si>
  <si>
    <t>CFO &gt; 0</t>
  </si>
  <si>
    <t>Improving profitability</t>
  </si>
  <si>
    <t>Year-on-year change in ROA</t>
  </si>
  <si>
    <r>
      <t>ROA</t>
    </r>
    <r>
      <rPr>
        <sz val="10"/>
        <color theme="1"/>
        <rFont val="Cambria Math"/>
        <family val="1"/>
      </rPr>
      <t>ₙ</t>
    </r>
    <r>
      <rPr>
        <sz val="10"/>
        <color theme="1"/>
        <rFont val="Arial"/>
        <family val="2"/>
      </rPr>
      <t xml:space="preserve"> &gt; ROA</t>
    </r>
    <r>
      <rPr>
        <sz val="10"/>
        <color theme="1"/>
        <rFont val="Cambria Math"/>
        <family val="1"/>
      </rPr>
      <t>ₙ₋₁</t>
    </r>
  </si>
  <si>
    <t>Earnings quality</t>
  </si>
  <si>
    <t>Cash flow vs. reported profit</t>
  </si>
  <si>
    <t>CFO &gt; Net Income</t>
  </si>
  <si>
    <t>Leverage &amp; Liquidity</t>
  </si>
  <si>
    <t>Lower debt burden</t>
  </si>
  <si>
    <t>Long-term debt to total assets</t>
  </si>
  <si>
    <r>
      <t>Ratio</t>
    </r>
    <r>
      <rPr>
        <sz val="10"/>
        <color theme="1"/>
        <rFont val="Cambria Math"/>
        <family val="1"/>
      </rPr>
      <t>ₙ</t>
    </r>
    <r>
      <rPr>
        <sz val="10"/>
        <color theme="1"/>
        <rFont val="Arial"/>
        <family val="2"/>
      </rPr>
      <t xml:space="preserve"> ≤ Ratio</t>
    </r>
    <r>
      <rPr>
        <sz val="10"/>
        <color theme="1"/>
        <rFont val="Cambria Math"/>
        <family val="1"/>
      </rPr>
      <t>ₙ₋₁</t>
    </r>
  </si>
  <si>
    <t>Stronger liquidity</t>
  </si>
  <si>
    <t>Current ratio (CA / CL)</t>
  </si>
  <si>
    <r>
      <t>Current Ratio</t>
    </r>
    <r>
      <rPr>
        <sz val="10"/>
        <color theme="1"/>
        <rFont val="Cambria Math"/>
        <family val="1"/>
      </rPr>
      <t>ₙ</t>
    </r>
    <r>
      <rPr>
        <sz val="10"/>
        <color theme="1"/>
        <rFont val="Arial"/>
        <family val="2"/>
      </rPr>
      <t xml:space="preserve"> &gt; Current Ratio</t>
    </r>
    <r>
      <rPr>
        <sz val="10"/>
        <color theme="1"/>
        <rFont val="Cambria Math"/>
        <family val="1"/>
      </rPr>
      <t>ₙ₋₁</t>
    </r>
  </si>
  <si>
    <t>No shareholder dilution</t>
  </si>
  <si>
    <t>Shares outstanding</t>
  </si>
  <si>
    <r>
      <t>Shares</t>
    </r>
    <r>
      <rPr>
        <sz val="10"/>
        <color theme="1"/>
        <rFont val="Cambria Math"/>
        <family val="1"/>
      </rPr>
      <t>ₙ</t>
    </r>
    <r>
      <rPr>
        <sz val="10"/>
        <color theme="1"/>
        <rFont val="Arial"/>
        <family val="2"/>
      </rPr>
      <t xml:space="preserve"> ≤ Shares</t>
    </r>
    <r>
      <rPr>
        <sz val="10"/>
        <color theme="1"/>
        <rFont val="Cambria Math"/>
        <family val="1"/>
      </rPr>
      <t>ₙ₋₁</t>
    </r>
  </si>
  <si>
    <t>Operating Efficiency</t>
  </si>
  <si>
    <t>Improving margins</t>
  </si>
  <si>
    <t>Gross margin (Gross Profit / Revenue)</t>
  </si>
  <si>
    <r>
      <t>Gross Margin</t>
    </r>
    <r>
      <rPr>
        <sz val="10"/>
        <color theme="1"/>
        <rFont val="Cambria Math"/>
        <family val="1"/>
      </rPr>
      <t>ₙ</t>
    </r>
    <r>
      <rPr>
        <sz val="10"/>
        <color theme="1"/>
        <rFont val="Arial"/>
        <family val="2"/>
      </rPr>
      <t xml:space="preserve"> &gt; Gross Margin</t>
    </r>
    <r>
      <rPr>
        <sz val="10"/>
        <color theme="1"/>
        <rFont val="Cambria Math"/>
        <family val="1"/>
      </rPr>
      <t>ₙ₋₁</t>
    </r>
  </si>
  <si>
    <t>Improving asset use</t>
  </si>
  <si>
    <t>Asset turnover (Revenue / Total Assets)</t>
  </si>
  <si>
    <r>
      <t>Turnover</t>
    </r>
    <r>
      <rPr>
        <sz val="10"/>
        <color theme="1"/>
        <rFont val="Cambria Math"/>
        <family val="1"/>
      </rPr>
      <t>ₙ</t>
    </r>
    <r>
      <rPr>
        <sz val="10"/>
        <color theme="1"/>
        <rFont val="Arial"/>
        <family val="2"/>
      </rPr>
      <t xml:space="preserve"> &gt; Turnover</t>
    </r>
    <r>
      <rPr>
        <sz val="10"/>
        <color theme="1"/>
        <rFont val="Cambria Math"/>
        <family val="1"/>
      </rPr>
      <t>ₙ₋₁</t>
    </r>
  </si>
  <si>
    <t>$120/yr</t>
  </si>
  <si>
    <t>$300/yr</t>
  </si>
  <si>
    <t>F-Score</t>
  </si>
  <si>
    <t>Available</t>
  </si>
  <si>
    <t>yes</t>
  </si>
  <si>
    <t>Covers the major four compotents</t>
  </si>
  <si>
    <t>Buy or Sell</t>
  </si>
  <si>
    <t>Opposes rule (Hold or opposite action)</t>
  </si>
  <si>
    <t>Hold (agrees)</t>
  </si>
  <si>
    <t>Consensus Hold</t>
  </si>
  <si>
    <t>Both layers independently arrive at Hold. High confidence in the no-trade decision.</t>
  </si>
  <si>
    <t>RL dissents from Hold</t>
  </si>
  <si>
    <t>Default Hold</t>
  </si>
  <si>
    <t>Buy / Sell (opposes rule)</t>
  </si>
  <si>
    <t>Hybrid Signal Rule</t>
  </si>
  <si>
    <t>Rule and RL agree on the same signal after all conditions pass.</t>
  </si>
  <si>
    <t>Signal comes solely from the rule layer without RL input.</t>
  </si>
  <si>
    <t>Rule signal is taken despite RL disagreement.</t>
  </si>
  <si>
    <t>Both layers agree no trade should be taken.</t>
  </si>
  <si>
    <t>Rule holds, but RL identifies a potential trade.</t>
  </si>
  <si>
    <t>No signal from either layer; default no-trade state.</t>
  </si>
  <si>
    <t>Rule says Hold but RL sees an opportunity. 
When the rule has no crossover i.e. Hold -  RL overrides.</t>
  </si>
  <si>
    <t>Rule produces Hold and no RL input is available – essentially a no-signal state.</t>
  </si>
  <si>
    <t>Rule takes precedence but RL disagrees. Confidence is less – treat as a cautious entry.</t>
  </si>
  <si>
    <t>Rule layer produces a signal and RL independently reaches the same action.</t>
  </si>
  <si>
    <t xml:space="preserve">Rule layer produces a trade signal; no RL input is available. </t>
  </si>
  <si>
    <t>Barber and Odean [8]</t>
  </si>
  <si>
    <t>Frequent traders lag the market by ~6.5 pp a year</t>
  </si>
  <si>
    <t>Hirshleifer and Teoh [9]</t>
  </si>
  <si>
    <t>Lusardi and Mitchell [10]</t>
  </si>
  <si>
    <t>Financial literacy is the single biggest driver of investor outcomes</t>
  </si>
  <si>
    <t>Kadia et al. [26]</t>
  </si>
  <si>
    <t>SMA + ATV + RSI gating with a PPO agent hits 85% directional accuracy on NSE names</t>
  </si>
  <si>
    <t>Yeh and Liu [18]</t>
  </si>
  <si>
    <t>Piotroski [17]</t>
  </si>
  <si>
    <t>High-F-Score names beat the average over a long horizon</t>
  </si>
  <si>
    <t>Wang [19]</t>
  </si>
  <si>
    <t>Multi-factor selection consistently beats single-factor on CSI 300</t>
  </si>
  <si>
    <t>Loughran and McDonald [21]</t>
  </si>
  <si>
    <t>Chauhan et al. [22]</t>
  </si>
  <si>
    <t>Sentiment features meaningfully lift short-horizon forecasts</t>
  </si>
  <si>
    <t>Dhanvanth et al. [12]</t>
  </si>
  <si>
    <t>Factor weights interact – treating them as additive misses most of the signal</t>
  </si>
  <si>
    <t>Single-indicator crossovers whipsaw badly in sideways markets – confirmation is needed</t>
  </si>
  <si>
    <t>General-purpose dictionaries mislabel 75% of finance-specific negatives</t>
  </si>
  <si>
    <t>CHTR</t>
  </si>
  <si>
    <t>CMCSA</t>
  </si>
  <si>
    <t>DIS</t>
  </si>
  <si>
    <t>EA</t>
  </si>
  <si>
    <t>FOX</t>
  </si>
  <si>
    <t>FOXA</t>
  </si>
  <si>
    <t>GOOG</t>
  </si>
  <si>
    <t>LYV</t>
  </si>
  <si>
    <t>PEER_MEDIAN</t>
  </si>
  <si>
    <t>P/E Ratio</t>
  </si>
  <si>
    <t>ROE</t>
  </si>
  <si>
    <t>Net Margin</t>
  </si>
  <si>
    <t>Revenue Growth</t>
  </si>
  <si>
    <t>Debt/Equity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</si>
</sst>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.0_);_(* \(#,##0.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1"/>
      <color rgb="FF1F3864"/>
      <name val="Arial"/>
      <family val="2"/>
    </font>
    <font>
      <sz val="10"/>
      <color rgb="FF404040"/>
      <name val="Symbol"/>
      <family val="1"/>
      <charset val="2"/>
    </font>
    <font>
      <sz val="7"/>
      <color rgb="FF404040"/>
      <name val="Times New Roman"/>
      <family val="1"/>
    </font>
    <font>
      <sz val="10"/>
      <color theme="1"/>
      <name val="Cambria Math"/>
      <family val="1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D5E8F0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5" borderId="5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10" fontId="3" fillId="0" borderId="0" xfId="1" applyNumberFormat="1" applyFont="1" applyAlignment="1">
      <alignment horizontal="center" vertical="center"/>
    </xf>
    <xf numFmtId="10" fontId="13" fillId="0" borderId="8" xfId="1" applyNumberFormat="1" applyFont="1" applyBorder="1" applyAlignment="1">
      <alignment horizontal="center" vertical="center" wrapText="1"/>
    </xf>
    <xf numFmtId="10" fontId="12" fillId="6" borderId="8" xfId="1" applyNumberFormat="1" applyFont="1" applyFill="1" applyBorder="1" applyAlignment="1">
      <alignment horizontal="center" vertical="center" wrapText="1"/>
    </xf>
    <xf numFmtId="0" fontId="14" fillId="0" borderId="0" xfId="2"/>
    <xf numFmtId="0" fontId="15" fillId="7" borderId="4" xfId="2" applyFont="1" applyFill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2" fontId="17" fillId="0" borderId="4" xfId="2" applyNumberFormat="1" applyFont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2" fontId="17" fillId="8" borderId="4" xfId="2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left" vertical="center" wrapText="1"/>
    </xf>
    <xf numFmtId="0" fontId="13" fillId="9" borderId="9" xfId="0" applyFont="1" applyFill="1" applyBorder="1" applyAlignment="1">
      <alignment horizontal="justify" vertical="center"/>
    </xf>
    <xf numFmtId="0" fontId="13" fillId="9" borderId="10" xfId="0" applyFont="1" applyFill="1" applyBorder="1" applyAlignment="1">
      <alignment horizontal="justify" vertical="center"/>
    </xf>
    <xf numFmtId="0" fontId="18" fillId="0" borderId="0" xfId="0" applyFont="1" applyAlignment="1">
      <alignment horizontal="left" vertical="center"/>
    </xf>
    <xf numFmtId="0" fontId="5" fillId="0" borderId="13" xfId="0" applyFont="1" applyBorder="1" applyAlignment="1">
      <alignment horizontal="justify" vertical="center"/>
    </xf>
    <xf numFmtId="0" fontId="5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justify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9" borderId="9" xfId="0" applyFont="1" applyFill="1" applyBorder="1" applyAlignment="1">
      <alignment horizontal="justify" vertical="center" wrapText="1"/>
    </xf>
    <xf numFmtId="0" fontId="12" fillId="9" borderId="10" xfId="0" applyFont="1" applyFill="1" applyBorder="1" applyAlignment="1">
      <alignment horizontal="justify" vertical="center" wrapText="1"/>
    </xf>
    <xf numFmtId="0" fontId="12" fillId="9" borderId="9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horizontal="left" vertical="center" wrapText="1"/>
    </xf>
    <xf numFmtId="0" fontId="21" fillId="2" borderId="17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2" borderId="17" xfId="0" applyFont="1" applyFill="1" applyBorder="1" applyAlignment="1">
      <alignment horizontal="center" vertical="center"/>
    </xf>
    <xf numFmtId="0" fontId="21" fillId="13" borderId="17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5" fillId="0" borderId="12" xfId="0" applyFont="1" applyBorder="1" applyAlignment="1">
      <alignment horizontal="justify" vertical="center"/>
    </xf>
    <xf numFmtId="0" fontId="5" fillId="0" borderId="11" xfId="0" applyFont="1" applyBorder="1" applyAlignment="1">
      <alignment horizontal="justify" vertical="center"/>
    </xf>
    <xf numFmtId="0" fontId="5" fillId="0" borderId="13" xfId="0" applyFont="1" applyBorder="1" applyAlignment="1">
      <alignment horizontal="justify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165" fontId="5" fillId="0" borderId="15" xfId="3" applyNumberFormat="1" applyFont="1" applyBorder="1" applyAlignment="1">
      <alignment horizontal="center" vertical="center"/>
    </xf>
    <xf numFmtId="164" fontId="5" fillId="0" borderId="13" xfId="1" applyNumberFormat="1" applyFont="1" applyBorder="1" applyAlignment="1">
      <alignment horizontal="center" vertical="center"/>
    </xf>
    <xf numFmtId="164" fontId="5" fillId="0" borderId="15" xfId="1" applyNumberFormat="1" applyFont="1" applyBorder="1" applyAlignment="1">
      <alignment horizontal="center" vertical="center"/>
    </xf>
    <xf numFmtId="165" fontId="5" fillId="0" borderId="13" xfId="3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F6C185B-43B3-47DA-93A2-531AA1D94C20}"/>
    <cellStyle name="Percent" xfId="1" builtinId="5"/>
  </cellStyles>
  <dxfs count="0"/>
  <tableStyles count="0" defaultTableStyle="TableStyleMedium2" defaultPivotStyle="PivotStyleLight16"/>
  <colors>
    <mruColors>
      <color rgb="FFC6EFCE"/>
      <color rgb="FFFFEB9C"/>
      <color rgb="FFFFC7CE"/>
      <color rgb="FF1F3864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b="1"/>
              <a:t>Average Markout vs Holding Horizon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Sheet6!$B$19</c:f>
              <c:strCache>
                <c:ptCount val="1"/>
                <c:pt idx="0">
                  <c:v>Avg Markout (%)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Sheet6!$A$20:$A$25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21</c:v>
                </c:pt>
              </c:numCache>
            </c:numRef>
          </c:cat>
          <c:val>
            <c:numRef>
              <c:f>Sheet6!$B$20:$B$25</c:f>
              <c:numCache>
                <c:formatCode>General</c:formatCode>
                <c:ptCount val="6"/>
                <c:pt idx="0">
                  <c:v>2.3149999999999999</c:v>
                </c:pt>
                <c:pt idx="1">
                  <c:v>1.8440000000000001</c:v>
                </c:pt>
                <c:pt idx="2">
                  <c:v>2.6669999999999998</c:v>
                </c:pt>
                <c:pt idx="3">
                  <c:v>2.4910000000000001</c:v>
                </c:pt>
                <c:pt idx="4">
                  <c:v>4.9059999999999997</c:v>
                </c:pt>
                <c:pt idx="5">
                  <c:v>5.9269999999999996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A2-452E-9852-B05958942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661455"/>
        <c:axId val="1419660015"/>
      </c:lineChart>
      <c:catAx>
        <c:axId val="141966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1"/>
                  <a:t>Holding Horizon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19660015"/>
        <c:crosses val="autoZero"/>
        <c:auto val="1"/>
        <c:lblAlgn val="ctr"/>
        <c:lblOffset val="100"/>
        <c:noMultiLvlLbl val="0"/>
      </c:catAx>
      <c:valAx>
        <c:axId val="141966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1"/>
                  <a:t>Average Markouts (%)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29192184310294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1966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b="1"/>
              <a:t>Average Markout vs Holding Horizon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Sheet6!$C$19</c:f>
              <c:strCache>
                <c:ptCount val="1"/>
                <c:pt idx="0">
                  <c:v>Win Rate (%)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Sheet6!$A$20:$A$25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21</c:v>
                </c:pt>
              </c:numCache>
            </c:numRef>
          </c:cat>
          <c:val>
            <c:numRef>
              <c:f>Sheet6!$C$20:$C$25</c:f>
              <c:numCache>
                <c:formatCode>General</c:formatCode>
                <c:ptCount val="6"/>
                <c:pt idx="0">
                  <c:v>59.09</c:v>
                </c:pt>
                <c:pt idx="1">
                  <c:v>54.55</c:v>
                </c:pt>
                <c:pt idx="2">
                  <c:v>54.55</c:v>
                </c:pt>
                <c:pt idx="3">
                  <c:v>54.55</c:v>
                </c:pt>
                <c:pt idx="4">
                  <c:v>54.55</c:v>
                </c:pt>
                <c:pt idx="5">
                  <c:v>63.64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88-477C-83C5-00854E51689B}"/>
            </c:ext>
          </c:extLst>
        </c:ser>
        <c:ser>
          <c:idx val="0"/>
          <c:order val="1"/>
          <c:tx>
            <c:strRef>
              <c:f>Sheet6!$D$19</c:f>
              <c:strCache>
                <c:ptCount val="1"/>
                <c:pt idx="0">
                  <c:v>Baseline (%)</c:v>
                </c:pt>
              </c:strCache>
            </c:strRef>
          </c:tx>
          <c:spPr>
            <a:ln w="28575" cap="rnd">
              <a:solidFill>
                <a:srgbClr val="FF9F9F"/>
              </a:solidFill>
              <a:round/>
            </a:ln>
            <a:effectLst/>
          </c:spPr>
          <c:marker>
            <c:symbol val="none"/>
          </c:marker>
          <c:cat>
            <c:numRef>
              <c:f>Sheet6!$A$20:$A$25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21</c:v>
                </c:pt>
              </c:numCache>
            </c:numRef>
          </c:cat>
          <c:val>
            <c:numRef>
              <c:f>Sheet6!$D$20:$D$25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8-477C-83C5-00854E516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661455"/>
        <c:axId val="1419660015"/>
      </c:lineChart>
      <c:catAx>
        <c:axId val="141966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1"/>
                  <a:t>Holding Horizon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19660015"/>
        <c:crosses val="autoZero"/>
        <c:auto val="1"/>
        <c:lblAlgn val="ctr"/>
        <c:lblOffset val="100"/>
        <c:noMultiLvlLbl val="0"/>
      </c:catAx>
      <c:valAx>
        <c:axId val="1419660015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1"/>
                  <a:t>Win Rate</a:t>
                </a:r>
                <a:r>
                  <a:rPr lang="en-US" b="1" baseline="0"/>
                  <a:t> </a:t>
                </a:r>
                <a:r>
                  <a:rPr lang="en-US" b="1"/>
                  <a:t>(%)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33821813939924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1966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Accuracy (Hybrid strategy)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Accuracy!$B$2</c:f>
              <c:strCache>
                <c:ptCount val="1"/>
                <c:pt idx="0">
                  <c:v>Accuracy (%)</c:v>
                </c:pt>
              </c:strCache>
            </c:strRef>
          </c:tx>
          <c:spPr>
            <a:solidFill>
              <a:srgbClr val="E8A33D"/>
            </a:solidFill>
            <a:ln w="126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CAF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9B6-4035-8C35-4D07D4DD6A28}"/>
              </c:ext>
            </c:extLst>
          </c:dPt>
          <c:dPt>
            <c:idx val="1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9B6-4035-8C35-4D07D4DD6A28}"/>
              </c:ext>
            </c:extLst>
          </c:dPt>
          <c:dPt>
            <c:idx val="2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9B6-4035-8C35-4D07D4DD6A28}"/>
              </c:ext>
            </c:extLst>
          </c:dPt>
          <c:dPt>
            <c:idx val="3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9B6-4035-8C35-4D07D4DD6A28}"/>
              </c:ext>
            </c:extLst>
          </c:dPt>
          <c:dPt>
            <c:idx val="4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9B6-4035-8C35-4D07D4DD6A28}"/>
              </c:ext>
            </c:extLst>
          </c:dPt>
          <c:dPt>
            <c:idx val="5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9B6-4035-8C35-4D07D4DD6A28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9B6-4035-8C35-4D07D4DD6A28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9B6-4035-8C35-4D07D4DD6A28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B6-4035-8C35-4D07D4DD6A28}"/>
                </c:ext>
              </c:extLst>
            </c:dLbl>
            <c:dLbl>
              <c:idx val="1"/>
              <c:layout>
                <c:manualLayout>
                  <c:x val="-3.3966123492312621E-17"/>
                  <c:y val="-2.8150555599425416E-2"/>
                </c:manualLayout>
              </c:layout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B6-4035-8C35-4D07D4DD6A28}"/>
                </c:ext>
              </c:extLst>
            </c:dLbl>
            <c:dLbl>
              <c:idx val="2"/>
              <c:layout>
                <c:manualLayout>
                  <c:x val="-3.7054380951131202E-3"/>
                  <c:y val="-4.5744652849066196E-2"/>
                </c:manualLayout>
              </c:layout>
              <c:spPr>
                <a:noFill/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B6-4035-8C35-4D07D4DD6A28}"/>
                </c:ext>
              </c:extLst>
            </c:dLbl>
            <c:dLbl>
              <c:idx val="3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B6-4035-8C35-4D07D4DD6A28}"/>
                </c:ext>
              </c:extLst>
            </c:dLbl>
            <c:dLbl>
              <c:idx val="4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B6-4035-8C35-4D07D4DD6A28}"/>
                </c:ext>
              </c:extLst>
            </c:dLbl>
            <c:dLbl>
              <c:idx val="5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B6-4035-8C35-4D07D4DD6A28}"/>
                </c:ext>
              </c:extLst>
            </c:dLbl>
            <c:dLbl>
              <c:idx val="6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B6-4035-8C35-4D07D4DD6A28}"/>
                </c:ext>
              </c:extLst>
            </c:dLbl>
            <c:dLbl>
              <c:idx val="7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B6-4035-8C35-4D07D4DD6A28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Accuracy!$A$3:$A$10</c:f>
              <c:strCache>
                <c:ptCount val="8"/>
                <c:pt idx="0">
                  <c:v>GOOGL</c:v>
                </c:pt>
                <c:pt idx="1">
                  <c:v>APP</c:v>
                </c:pt>
                <c:pt idx="2">
                  <c:v>JPM</c:v>
                </c:pt>
                <c:pt idx="3">
                  <c:v>DASH</c:v>
                </c:pt>
                <c:pt idx="4">
                  <c:v>CVNA</c:v>
                </c:pt>
                <c:pt idx="5">
                  <c:v>AAPL</c:v>
                </c:pt>
                <c:pt idx="6">
                  <c:v>ISRG</c:v>
                </c:pt>
                <c:pt idx="7">
                  <c:v>BAX</c:v>
                </c:pt>
              </c:strCache>
            </c:strRef>
          </c:cat>
          <c:val>
            <c:numRef>
              <c:f>Accuracy!$B$3:$B$10</c:f>
              <c:numCache>
                <c:formatCode>0.00</c:formatCode>
                <c:ptCount val="8"/>
                <c:pt idx="0">
                  <c:v>100</c:v>
                </c:pt>
                <c:pt idx="1">
                  <c:v>81.25</c:v>
                </c:pt>
                <c:pt idx="2">
                  <c:v>75</c:v>
                </c:pt>
                <c:pt idx="3">
                  <c:v>71.430000000000007</c:v>
                </c:pt>
                <c:pt idx="4">
                  <c:v>66.67</c:v>
                </c:pt>
                <c:pt idx="5">
                  <c:v>66.67</c:v>
                </c:pt>
                <c:pt idx="6">
                  <c:v>33.33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9B6-4035-8C35-4D07D4DD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31607"/>
        <c:axId val="62762973"/>
      </c:barChart>
      <c:lineChart>
        <c:grouping val="standard"/>
        <c:varyColors val="0"/>
        <c:ser>
          <c:idx val="1"/>
          <c:order val="1"/>
          <c:tx>
            <c:strRef>
              <c:f>Accuracy!$C$2</c:f>
              <c:strCache>
                <c:ptCount val="1"/>
                <c:pt idx="0">
                  <c:v>Kadia benchmark (%)</c:v>
                </c:pt>
              </c:strCache>
            </c:strRef>
          </c:tx>
          <c:spPr>
            <a:ln w="19080">
              <a:solidFill>
                <a:srgbClr val="1F3864">
                  <a:alpha val="80000"/>
                </a:srgbClr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cat>
            <c:strRef>
              <c:f>Accuracy!$A$3:$A$10</c:f>
              <c:strCache>
                <c:ptCount val="8"/>
                <c:pt idx="0">
                  <c:v>GOOGL</c:v>
                </c:pt>
                <c:pt idx="1">
                  <c:v>APP</c:v>
                </c:pt>
                <c:pt idx="2">
                  <c:v>JPM</c:v>
                </c:pt>
                <c:pt idx="3">
                  <c:v>DASH</c:v>
                </c:pt>
                <c:pt idx="4">
                  <c:v>CVNA</c:v>
                </c:pt>
                <c:pt idx="5">
                  <c:v>AAPL</c:v>
                </c:pt>
                <c:pt idx="6">
                  <c:v>ISRG</c:v>
                </c:pt>
                <c:pt idx="7">
                  <c:v>BAX</c:v>
                </c:pt>
              </c:strCache>
            </c:strRef>
          </c:cat>
          <c:val>
            <c:numRef>
              <c:f>Accuracy!$C$3:$C$10</c:f>
              <c:numCache>
                <c:formatCode>General</c:formatCode>
                <c:ptCount val="8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85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B6-4035-8C35-4D07D4DD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2331607"/>
        <c:axId val="62762973"/>
      </c:lineChart>
      <c:catAx>
        <c:axId val="523316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Ticker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762973"/>
        <c:crosses val="autoZero"/>
        <c:auto val="1"/>
        <c:lblAlgn val="ctr"/>
        <c:lblOffset val="100"/>
        <c:noMultiLvlLbl val="0"/>
      </c:catAx>
      <c:valAx>
        <c:axId val="62762973"/>
        <c:scaling>
          <c:orientation val="minMax"/>
          <c:max val="1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Directional accuracy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3316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Sharpe ratio (Hybrid strategy)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Sharpe!$B$2</c:f>
              <c:strCache>
                <c:ptCount val="1"/>
                <c:pt idx="0">
                  <c:v>Sharpe (annualised)</c:v>
                </c:pt>
              </c:strCache>
            </c:strRef>
          </c:tx>
          <c:spPr>
            <a:solidFill>
              <a:srgbClr val="E8A33D"/>
            </a:solidFill>
            <a:ln w="126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7AB-49E1-B389-F1AE3C8E8B92}"/>
              </c:ext>
            </c:extLst>
          </c:dPt>
          <c:dPt>
            <c:idx val="1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7AB-49E1-B389-F1AE3C8E8B92}"/>
              </c:ext>
            </c:extLst>
          </c:dPt>
          <c:dPt>
            <c:idx val="2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7AB-49E1-B389-F1AE3C8E8B92}"/>
              </c:ext>
            </c:extLst>
          </c:dPt>
          <c:dPt>
            <c:idx val="3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7AB-49E1-B389-F1AE3C8E8B92}"/>
              </c:ext>
            </c:extLst>
          </c:dPt>
          <c:dPt>
            <c:idx val="4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7AB-49E1-B389-F1AE3C8E8B92}"/>
              </c:ext>
            </c:extLst>
          </c:dPt>
          <c:dPt>
            <c:idx val="5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7AB-49E1-B389-F1AE3C8E8B92}"/>
              </c:ext>
            </c:extLst>
          </c:dPt>
          <c:dPt>
            <c:idx val="6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97AB-49E1-B389-F1AE3C8E8B92}"/>
              </c:ext>
            </c:extLst>
          </c:dPt>
          <c:dPt>
            <c:idx val="7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97AB-49E1-B389-F1AE3C8E8B92}"/>
              </c:ext>
            </c:extLst>
          </c:dPt>
          <c:dPt>
            <c:idx val="8"/>
            <c:invertIfNegative val="0"/>
            <c:bubble3D val="0"/>
            <c:spPr>
              <a:solidFill>
                <a:srgbClr val="E8A33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7AB-49E1-B389-F1AE3C8E8B92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97AB-49E1-B389-F1AE3C8E8B92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AB-49E1-B389-F1AE3C8E8B92}"/>
                </c:ext>
              </c:extLst>
            </c:dLbl>
            <c:dLbl>
              <c:idx val="1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AB-49E1-B389-F1AE3C8E8B92}"/>
                </c:ext>
              </c:extLst>
            </c:dLbl>
            <c:dLbl>
              <c:idx val="2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AB-49E1-B389-F1AE3C8E8B92}"/>
                </c:ext>
              </c:extLst>
            </c:dLbl>
            <c:dLbl>
              <c:idx val="3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AB-49E1-B389-F1AE3C8E8B92}"/>
                </c:ext>
              </c:extLst>
            </c:dLbl>
            <c:dLbl>
              <c:idx val="4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AB-49E1-B389-F1AE3C8E8B92}"/>
                </c:ext>
              </c:extLst>
            </c:dLbl>
            <c:dLbl>
              <c:idx val="5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AB-49E1-B389-F1AE3C8E8B92}"/>
                </c:ext>
              </c:extLst>
            </c:dLbl>
            <c:dLbl>
              <c:idx val="6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AB-49E1-B389-F1AE3C8E8B92}"/>
                </c:ext>
              </c:extLst>
            </c:dLbl>
            <c:dLbl>
              <c:idx val="7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7AB-49E1-B389-F1AE3C8E8B92}"/>
                </c:ext>
              </c:extLst>
            </c:dLbl>
            <c:dLbl>
              <c:idx val="8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7AB-49E1-B389-F1AE3C8E8B92}"/>
                </c:ext>
              </c:extLst>
            </c:dLbl>
            <c:dLbl>
              <c:idx val="9"/>
              <c:spPr>
                <a:solidFill>
                  <a:schemeClr val="bg1"/>
                </a:solidFill>
              </c:spPr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7AB-49E1-B389-F1AE3C8E8B92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Sharpe!$A$3:$A$12</c:f>
              <c:strCache>
                <c:ptCount val="10"/>
                <c:pt idx="0">
                  <c:v>APP</c:v>
                </c:pt>
                <c:pt idx="1">
                  <c:v>DASH</c:v>
                </c:pt>
                <c:pt idx="2">
                  <c:v>GOOGL</c:v>
                </c:pt>
                <c:pt idx="3">
                  <c:v>CVNA</c:v>
                </c:pt>
                <c:pt idx="4">
                  <c:v>JPM</c:v>
                </c:pt>
                <c:pt idx="5">
                  <c:v>AMZN</c:v>
                </c:pt>
                <c:pt idx="6">
                  <c:v>AAPL</c:v>
                </c:pt>
                <c:pt idx="7">
                  <c:v>TSLA</c:v>
                </c:pt>
                <c:pt idx="8">
                  <c:v>ISRG</c:v>
                </c:pt>
                <c:pt idx="9">
                  <c:v>BAX</c:v>
                </c:pt>
              </c:strCache>
            </c:strRef>
          </c:cat>
          <c:val>
            <c:numRef>
              <c:f>Sharpe!$B$3:$B$12</c:f>
              <c:numCache>
                <c:formatCode>0.00</c:formatCode>
                <c:ptCount val="10"/>
                <c:pt idx="0">
                  <c:v>2.09</c:v>
                </c:pt>
                <c:pt idx="1">
                  <c:v>1.57</c:v>
                </c:pt>
                <c:pt idx="2">
                  <c:v>1.54</c:v>
                </c:pt>
                <c:pt idx="3">
                  <c:v>1.44</c:v>
                </c:pt>
                <c:pt idx="4">
                  <c:v>1.19</c:v>
                </c:pt>
                <c:pt idx="5">
                  <c:v>1.18</c:v>
                </c:pt>
                <c:pt idx="6">
                  <c:v>1.02</c:v>
                </c:pt>
                <c:pt idx="7">
                  <c:v>0.91</c:v>
                </c:pt>
                <c:pt idx="8">
                  <c:v>0.66</c:v>
                </c:pt>
                <c:pt idx="9">
                  <c:v>-0.71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AB-49E1-B389-F1AE3C8E8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9645"/>
        <c:axId val="59875487"/>
      </c:barChart>
      <c:lineChart>
        <c:grouping val="standard"/>
        <c:varyColors val="0"/>
        <c:ser>
          <c:idx val="1"/>
          <c:order val="1"/>
          <c:tx>
            <c:strRef>
              <c:f>Sharpe!$C$2</c:f>
              <c:strCache>
                <c:ptCount val="1"/>
                <c:pt idx="0">
                  <c:v>Kadia benchmark</c:v>
                </c:pt>
              </c:strCache>
            </c:strRef>
          </c:tx>
          <c:spPr>
            <a:ln w="19080">
              <a:solidFill>
                <a:srgbClr val="1F3864">
                  <a:alpha val="80000"/>
                </a:srgbClr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cat>
            <c:strRef>
              <c:f>Sharpe!$A$3:$A$12</c:f>
              <c:strCache>
                <c:ptCount val="10"/>
                <c:pt idx="0">
                  <c:v>APP</c:v>
                </c:pt>
                <c:pt idx="1">
                  <c:v>DASH</c:v>
                </c:pt>
                <c:pt idx="2">
                  <c:v>GOOGL</c:v>
                </c:pt>
                <c:pt idx="3">
                  <c:v>CVNA</c:v>
                </c:pt>
                <c:pt idx="4">
                  <c:v>JPM</c:v>
                </c:pt>
                <c:pt idx="5">
                  <c:v>AMZN</c:v>
                </c:pt>
                <c:pt idx="6">
                  <c:v>AAPL</c:v>
                </c:pt>
                <c:pt idx="7">
                  <c:v>TSLA</c:v>
                </c:pt>
                <c:pt idx="8">
                  <c:v>ISRG</c:v>
                </c:pt>
                <c:pt idx="9">
                  <c:v>BAX</c:v>
                </c:pt>
              </c:strCache>
            </c:strRef>
          </c:cat>
          <c:val>
            <c:numRef>
              <c:f>Sharpe!$C$3:$C$12</c:f>
              <c:numCache>
                <c:formatCode>0.00</c:formatCode>
                <c:ptCount val="10"/>
                <c:pt idx="0">
                  <c:v>2.27</c:v>
                </c:pt>
                <c:pt idx="1">
                  <c:v>2.27</c:v>
                </c:pt>
                <c:pt idx="2">
                  <c:v>2.27</c:v>
                </c:pt>
                <c:pt idx="3">
                  <c:v>2.27</c:v>
                </c:pt>
                <c:pt idx="4">
                  <c:v>2.27</c:v>
                </c:pt>
                <c:pt idx="5">
                  <c:v>2.27</c:v>
                </c:pt>
                <c:pt idx="6">
                  <c:v>2.27</c:v>
                </c:pt>
                <c:pt idx="7">
                  <c:v>2.27</c:v>
                </c:pt>
                <c:pt idx="8">
                  <c:v>2.27</c:v>
                </c:pt>
                <c:pt idx="9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7AB-49E1-B389-F1AE3C8E8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749645"/>
        <c:axId val="59875487"/>
      </c:lineChart>
      <c:catAx>
        <c:axId val="18749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Ticker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875487"/>
        <c:crosses val="autoZero"/>
        <c:auto val="1"/>
        <c:lblAlgn val="ctr"/>
        <c:lblOffset val="100"/>
        <c:noMultiLvlLbl val="0"/>
      </c:catAx>
      <c:valAx>
        <c:axId val="59875487"/>
        <c:scaling>
          <c:orientation val="minMax"/>
          <c:max val="2.5"/>
          <c:min val="-1"/>
        </c:scaling>
        <c:delete val="0"/>
        <c:axPos val="l"/>
        <c:majorGridlines>
          <c:spPr>
            <a:ln w="3175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Sharpe ratio (annualised)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87496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271096</xdr:colOff>
      <xdr:row>26</xdr:row>
      <xdr:rowOff>152400</xdr:rowOff>
    </xdr:from>
    <xdr:to>
      <xdr:col>3</xdr:col>
      <xdr:colOff>359019</xdr:colOff>
      <xdr:row>36</xdr:row>
      <xdr:rowOff>257908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A2E2E-24A7-A068-A7F0-D152D3C60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637442</xdr:colOff>
      <xdr:row>26</xdr:row>
      <xdr:rowOff>139211</xdr:rowOff>
    </xdr:from>
    <xdr:to>
      <xdr:col>6</xdr:col>
      <xdr:colOff>593481</xdr:colOff>
      <xdr:row>36</xdr:row>
      <xdr:rowOff>244719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FBA347-B821-4B45-98EA-9B37AF981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15</xdr:col>
      <xdr:colOff>488280</xdr:colOff>
      <xdr:row>19</xdr:row>
      <xdr:rowOff>183975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2C544-47B3-46B6-AFDE-32D21AD0C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15</xdr:col>
      <xdr:colOff>488280</xdr:colOff>
      <xdr:row>19</xdr:row>
      <xdr:rowOff>183975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74C0F-F160-4DBC-8E66-86677624A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adia_metrics_charts.xlsx" TargetMode="External"/><Relationship Id="rId2" Type="http://schemas.openxmlformats.org/officeDocument/2006/relationships/externalLinkPath" Target="file:///C:\Users\sethm\Final%20Year%20Project\Retail-Stock-Analytics-Dashboard\kadia_metrics_charts.xlsx" TargetMode="External"/><Relationship Id="rId1" Type="http://schemas.openxmlformats.org/officeDocument/2006/relationships/externalLinkPath" Target="/Users/sethm/Final%20Year%20Project/Retail-Stock-Analytics-Dashboard/kadia_metrics_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Fig_7.3_Accuracy"/>
      <sheetName val="Fig_7.4_Sharpe"/>
    </sheetNames>
    <sheetDataSet>
      <sheetData sheetId="0">
        <row r="5">
          <cell r="A5" t="str">
            <v>AAPL</v>
          </cell>
          <cell r="B5">
            <v>3</v>
          </cell>
          <cell r="C5">
            <v>66.67</v>
          </cell>
          <cell r="D5">
            <v>22.059000000000001</v>
          </cell>
          <cell r="E5">
            <v>110.74</v>
          </cell>
          <cell r="F5">
            <v>1.02</v>
          </cell>
          <cell r="G5">
            <v>1.04</v>
          </cell>
        </row>
        <row r="6">
          <cell r="A6" t="str">
            <v>APP</v>
          </cell>
          <cell r="B6">
            <v>16</v>
          </cell>
          <cell r="C6">
            <v>81.25</v>
          </cell>
          <cell r="D6">
            <v>27.55</v>
          </cell>
          <cell r="E6">
            <v>4281.1000000000004</v>
          </cell>
          <cell r="F6">
            <v>2.09</v>
          </cell>
          <cell r="G6">
            <v>2.33</v>
          </cell>
        </row>
        <row r="7">
          <cell r="A7" t="str">
            <v>GOOGL</v>
          </cell>
          <cell r="B7">
            <v>2</v>
          </cell>
          <cell r="C7">
            <v>100</v>
          </cell>
          <cell r="D7">
            <v>21.504999999999999</v>
          </cell>
          <cell r="E7">
            <v>289.29000000000002</v>
          </cell>
          <cell r="F7">
            <v>1.54</v>
          </cell>
          <cell r="G7">
            <v>1.57</v>
          </cell>
        </row>
        <row r="8">
          <cell r="A8" t="str">
            <v>BAX</v>
          </cell>
          <cell r="B8">
            <v>3</v>
          </cell>
          <cell r="C8">
            <v>0</v>
          </cell>
          <cell r="D8">
            <v>-24.228999999999999</v>
          </cell>
          <cell r="E8">
            <v>-65.5</v>
          </cell>
          <cell r="F8">
            <v>-0.71</v>
          </cell>
          <cell r="G8">
            <v>-0.63</v>
          </cell>
        </row>
        <row r="9">
          <cell r="A9" t="str">
            <v>JPM</v>
          </cell>
          <cell r="B9">
            <v>4</v>
          </cell>
          <cell r="C9">
            <v>75</v>
          </cell>
          <cell r="D9">
            <v>17.408000000000001</v>
          </cell>
          <cell r="E9">
            <v>126.64</v>
          </cell>
          <cell r="F9">
            <v>1.19</v>
          </cell>
          <cell r="G9">
            <v>1.1299999999999999</v>
          </cell>
        </row>
        <row r="10">
          <cell r="A10" t="str">
            <v>CVNA</v>
          </cell>
          <cell r="B10">
            <v>12</v>
          </cell>
          <cell r="C10">
            <v>66.67</v>
          </cell>
          <cell r="D10">
            <v>33.475999999999999</v>
          </cell>
          <cell r="E10">
            <v>2089.9299999999998</v>
          </cell>
          <cell r="F10">
            <v>1.44</v>
          </cell>
          <cell r="G10">
            <v>1.7</v>
          </cell>
        </row>
        <row r="11">
          <cell r="A11" t="str">
            <v>DASH</v>
          </cell>
          <cell r="B11">
            <v>28</v>
          </cell>
          <cell r="C11">
            <v>71.430000000000007</v>
          </cell>
          <cell r="D11">
            <v>5.8579999999999997</v>
          </cell>
          <cell r="E11">
            <v>342.31</v>
          </cell>
          <cell r="F11">
            <v>1.57</v>
          </cell>
          <cell r="G11">
            <v>1.39</v>
          </cell>
        </row>
        <row r="12">
          <cell r="A12" t="str">
            <v>ISRG</v>
          </cell>
          <cell r="B12">
            <v>3</v>
          </cell>
          <cell r="C12">
            <v>33.33</v>
          </cell>
          <cell r="D12">
            <v>31.213999999999999</v>
          </cell>
          <cell r="E12">
            <v>65.180000000000007</v>
          </cell>
          <cell r="F12">
            <v>0.66</v>
          </cell>
          <cell r="G12">
            <v>0.7</v>
          </cell>
        </row>
        <row r="13">
          <cell r="A13" t="str">
            <v>AMZN</v>
          </cell>
          <cell r="B13">
            <v>0</v>
          </cell>
          <cell r="E13">
            <v>191.96</v>
          </cell>
          <cell r="F13">
            <v>1.18</v>
          </cell>
          <cell r="G13">
            <v>1.23</v>
          </cell>
        </row>
        <row r="14">
          <cell r="A14" t="str">
            <v>TSLA</v>
          </cell>
          <cell r="B14">
            <v>0</v>
          </cell>
          <cell r="E14">
            <v>227.3</v>
          </cell>
          <cell r="F14">
            <v>0.91</v>
          </cell>
          <cell r="G14">
            <v>0.98</v>
          </cell>
        </row>
        <row r="15">
          <cell r="A15" t="str">
            <v>ALL</v>
          </cell>
          <cell r="B15">
            <v>71</v>
          </cell>
          <cell r="C15">
            <v>69.010000000000005</v>
          </cell>
          <cell r="D15">
            <v>16.989999999999998</v>
          </cell>
          <cell r="E15">
            <v>42968903.649999999</v>
          </cell>
          <cell r="F15">
            <v>1.06</v>
          </cell>
          <cell r="G15">
            <v>1.1599999999999999</v>
          </cell>
        </row>
      </sheetData>
      <sheetData sheetId="1">
        <row r="4">
          <cell r="B4" t="str">
            <v>Accuracy (%)</v>
          </cell>
        </row>
      </sheetData>
      <sheetData sheetId="2">
        <row r="4">
          <cell r="B4" t="str">
            <v>Sharpe (annualised)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hmika Bellana" refreshedDate="46130.581962384262" createdVersion="8" refreshedVersion="8" minRefreshableVersion="3" recordCount="9" xr:uid="{E5CD67DE-4485-48D6-904C-BDAA8CF4ACE1}">
  <cacheSource type="worksheet">
    <worksheetSource ref="A1:N10" sheet="summary"/>
  </cacheSource>
  <cacheFields count="14">
    <cacheField name="ticker" numFmtId="0">
      <sharedItems count="9">
        <s v="AMZN"/>
        <s v="APP"/>
        <s v="BAX"/>
        <s v="CVNA"/>
        <s v="DASH"/>
        <s v="GOOGL"/>
        <s v="ISRG"/>
        <s v="TSLA"/>
        <s v="ALL"/>
      </sharedItems>
    </cacheField>
    <cacheField name="n_signals" numFmtId="0">
      <sharedItems containsSemiMixedTypes="0" containsString="0" containsNumber="1" containsInteger="1" minValue="1" maxValue="22" count="6">
        <n v="3"/>
        <n v="4"/>
        <n v="1"/>
        <n v="5"/>
        <n v="2"/>
        <n v="22"/>
      </sharedItems>
    </cacheField>
    <cacheField name="avg_markout_1d" numFmtId="0">
      <sharedItems containsSemiMixedTypes="0" containsString="0" containsNumber="1" minValue="-1.1359999999999999" maxValue="32.093000000000004" count="9">
        <n v="1.1539999999999999"/>
        <n v="-0.57999999999999996"/>
        <n v="-1.1359999999999999"/>
        <n v="32.093000000000004"/>
        <n v="5.3710000000000004"/>
        <n v="1.1679999999999999"/>
        <n v="1.288"/>
        <n v="-1.0649999999999999"/>
        <n v="2.3149999999999999"/>
      </sharedItems>
    </cacheField>
    <cacheField name="win_rate_1d" numFmtId="0">
      <sharedItems containsSemiMixedTypes="0" containsString="0" containsNumber="1" minValue="25" maxValue="100"/>
    </cacheField>
    <cacheField name="avg_markout_2d" numFmtId="0">
      <sharedItems containsSemiMixedTypes="0" containsString="0" containsNumber="1" minValue="-3.97" maxValue="33.332999999999998" count="9">
        <n v="1.226"/>
        <n v="0.13300000000000001"/>
        <n v="-1.0109999999999999"/>
        <n v="33.332999999999998"/>
        <n v="3.0259999999999998"/>
        <n v="0.81"/>
        <n v="0.86"/>
        <n v="-3.97"/>
        <n v="1.8440000000000001"/>
      </sharedItems>
    </cacheField>
    <cacheField name="win_rate_2d" numFmtId="0">
      <sharedItems containsSemiMixedTypes="0" containsString="0" containsNumber="1" minValue="0" maxValue="100"/>
    </cacheField>
    <cacheField name="avg_markout_3d" numFmtId="0">
      <sharedItems containsSemiMixedTypes="0" containsString="0" containsNumber="1" minValue="-4.1310000000000002" maxValue="53.444000000000003" count="9">
        <n v="9.0999999999999998E-2"/>
        <n v="-0.64500000000000002"/>
        <n v="-0.86299999999999999"/>
        <n v="53.444000000000003"/>
        <n v="5.2670000000000003"/>
        <n v="0.186"/>
        <n v="1.661"/>
        <n v="-4.1310000000000002"/>
        <n v="2.6669999999999998"/>
      </sharedItems>
    </cacheField>
    <cacheField name="win_rate_3d" numFmtId="0">
      <sharedItems containsSemiMixedTypes="0" containsString="0" containsNumber="1" minValue="0" maxValue="100"/>
    </cacheField>
    <cacheField name="avg_markout_5d" numFmtId="0">
      <sharedItems containsSemiMixedTypes="0" containsString="0" containsNumber="1" minValue="-2.4729999999999999" maxValue="44.877000000000002" count="9">
        <n v="-0.247"/>
        <n v="-0.53900000000000003"/>
        <n v="-0.21299999999999999"/>
        <n v="44.877000000000002"/>
        <n v="7.0709999999999997"/>
        <n v="-1.1160000000000001"/>
        <n v="2.7719999999999998"/>
        <n v="-2.4729999999999999"/>
        <n v="2.4910000000000001"/>
      </sharedItems>
    </cacheField>
    <cacheField name="win_rate_5d" numFmtId="0">
      <sharedItems containsSemiMixedTypes="0" containsString="0" containsNumber="1" minValue="25" maxValue="100"/>
    </cacheField>
    <cacheField name="avg_markout_10d" numFmtId="0">
      <sharedItems containsSemiMixedTypes="0" containsString="0" containsNumber="1" minValue="-2.5070000000000001" maxValue="51.631" count="9">
        <n v="-1.7989999999999999"/>
        <n v="1.611"/>
        <n v="2.76"/>
        <n v="51.631"/>
        <n v="12.648999999999999"/>
        <n v="-2.5070000000000001"/>
        <n v="17.22"/>
        <n v="2.1720000000000002"/>
        <n v="4.9059999999999997"/>
      </sharedItems>
    </cacheField>
    <cacheField name="win_rate_10d" numFmtId="0">
      <sharedItems containsSemiMixedTypes="0" containsString="0" containsNumber="1" minValue="20" maxValue="100"/>
    </cacheField>
    <cacheField name="avg_markout_21d" numFmtId="0">
      <sharedItems containsSemiMixedTypes="0" containsString="0" containsNumber="1" minValue="-9.6709999999999994" maxValue="63.975999999999999" count="9">
        <n v="-6.0869999999999997"/>
        <n v="15.06"/>
        <n v="7.1580000000000004"/>
        <n v="63.975999999999999"/>
        <n v="5.1559999999999997"/>
        <n v="-2.4409999999999998"/>
        <n v="19.041"/>
        <n v="-9.6709999999999994"/>
        <n v="5.9269999999999996"/>
      </sharedItems>
    </cacheField>
    <cacheField name="win_rate_21d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100"/>
    <x v="0"/>
    <n v="100"/>
    <x v="0"/>
    <n v="66.67"/>
    <x v="0"/>
    <n v="33.33"/>
    <x v="0"/>
    <n v="66.67"/>
    <x v="0"/>
    <n v="33.33"/>
  </r>
  <r>
    <x v="1"/>
    <x v="1"/>
    <x v="1"/>
    <n v="25"/>
    <x v="1"/>
    <n v="25"/>
    <x v="1"/>
    <n v="25"/>
    <x v="1"/>
    <n v="25"/>
    <x v="1"/>
    <n v="25"/>
    <x v="1"/>
    <n v="100"/>
  </r>
  <r>
    <x v="2"/>
    <x v="0"/>
    <x v="2"/>
    <n v="33.33"/>
    <x v="2"/>
    <n v="0"/>
    <x v="2"/>
    <n v="33.33"/>
    <x v="2"/>
    <n v="66.67"/>
    <x v="2"/>
    <n v="66.67"/>
    <x v="2"/>
    <n v="100"/>
  </r>
  <r>
    <x v="3"/>
    <x v="2"/>
    <x v="3"/>
    <n v="100"/>
    <x v="3"/>
    <n v="100"/>
    <x v="3"/>
    <n v="100"/>
    <x v="3"/>
    <n v="100"/>
    <x v="3"/>
    <n v="100"/>
    <x v="3"/>
    <n v="100"/>
  </r>
  <r>
    <x v="4"/>
    <x v="0"/>
    <x v="4"/>
    <n v="100"/>
    <x v="4"/>
    <n v="100"/>
    <x v="4"/>
    <n v="100"/>
    <x v="4"/>
    <n v="100"/>
    <x v="4"/>
    <n v="100"/>
    <x v="4"/>
    <n v="66.67"/>
  </r>
  <r>
    <x v="5"/>
    <x v="3"/>
    <x v="5"/>
    <n v="40"/>
    <x v="5"/>
    <n v="60"/>
    <x v="5"/>
    <n v="60"/>
    <x v="5"/>
    <n v="40"/>
    <x v="5"/>
    <n v="20"/>
    <x v="5"/>
    <n v="40"/>
  </r>
  <r>
    <x v="6"/>
    <x v="2"/>
    <x v="6"/>
    <n v="100"/>
    <x v="6"/>
    <n v="100"/>
    <x v="6"/>
    <n v="100"/>
    <x v="6"/>
    <n v="100"/>
    <x v="6"/>
    <n v="100"/>
    <x v="6"/>
    <n v="100"/>
  </r>
  <r>
    <x v="7"/>
    <x v="4"/>
    <x v="7"/>
    <n v="50"/>
    <x v="7"/>
    <n v="0"/>
    <x v="7"/>
    <n v="0"/>
    <x v="7"/>
    <n v="50"/>
    <x v="7"/>
    <n v="50"/>
    <x v="7"/>
    <n v="0"/>
  </r>
  <r>
    <x v="8"/>
    <x v="5"/>
    <x v="8"/>
    <n v="59.09"/>
    <x v="8"/>
    <n v="54.55"/>
    <x v="8"/>
    <n v="54.55"/>
    <x v="8"/>
    <n v="54.55"/>
    <x v="8"/>
    <n v="54.55"/>
    <x v="8"/>
    <n v="63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EFD4B-4A2A-445E-9C86-D742E9BEAD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F17" firstHeaderRow="0" firstDataRow="1" firstDataCol="0" rowPageCount="1" colPageCount="1"/>
  <pivotFields count="14">
    <pivotField axis="axisPage" showAll="0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item="0" hier="-1"/>
  </pageFields>
  <dataFields count="6">
    <dataField name="Sum of win_rate_1d" fld="3" baseField="0" baseItem="0"/>
    <dataField name="Sum of win_rate_2d" fld="5" baseField="0" baseItem="0"/>
    <dataField name="Sum of win_rate_3d" fld="7" baseField="0" baseItem="0"/>
    <dataField name="Sum of win_rate_5d" fld="9" baseField="0" baseItem="0"/>
    <dataField name="Sum of win_rate_10d" fld="11" baseField="0" baseItem="0"/>
    <dataField name="Sum of win_rate_21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92ADA-5F79-45FE-A234-E21D0578C0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F12" firstHeaderRow="0" firstDataRow="1" firstDataCol="0" rowPageCount="1" colPageCount="1"/>
  <pivotFields count="14">
    <pivotField axis="axisPage" showAll="0">
      <items count="10">
        <item x="8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item="0" hier="-1"/>
  </pageFields>
  <dataFields count="6">
    <dataField name="Sum of avg_markout_1d" fld="2" baseField="0" baseItem="0"/>
    <dataField name="Sum of avg_markout_2d" fld="4" baseField="0" baseItem="0"/>
    <dataField name="Sum of avg_markout_3d" fld="6" baseField="0" baseItem="0"/>
    <dataField name="Sum of avg_markout_5d" fld="8" baseField="0" baseItem="0"/>
    <dataField name="Sum of avg_markout_10d" fld="10" baseField="0" baseItem="0"/>
    <dataField name="Sum of avg_markout_21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298BD-D10D-42D6-913D-7F64ACE9C0A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G52" firstHeaderRow="0" firstDataRow="1" firstDataCol="1"/>
  <pivotFields count="14">
    <pivotField axis="axisRow" showAll="0">
      <items count="10">
        <item h="1" x="8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</pivotFields>
  <rowFields count="1">
    <field x="0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avg_markout_1d" fld="2" subtotal="average" baseField="0" baseItem="0"/>
    <dataField name="Sum of avg_markout_2d" fld="4" baseField="0" baseItem="0"/>
    <dataField name="Sum of avg_markout_3d" fld="6" baseField="0" baseItem="0"/>
    <dataField name="Sum of avg_markout_5d" fld="8" baseField="0" baseItem="0"/>
    <dataField name="Sum of avg_markout_10d" fld="10" baseField="0" baseItem="0"/>
    <dataField name="Sum of avg_markout_21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65BE-C606-4DBB-AAE7-A3D65758FDF6}">
  <dimension ref="A1:C11"/>
  <sheetViews>
    <sheetView zoomScale="160" zoomScaleNormal="160" workbookViewId="0">
      <selection activeCell="E7" sqref="E7"/>
    </sheetView>
  </sheetViews>
  <sheetFormatPr defaultRowHeight="15" x14ac:dyDescent="0.25"/>
  <cols>
    <col min="1" max="1" width="25.140625" bestFit="1" customWidth="1"/>
    <col min="2" max="2" width="18.7109375" bestFit="1" customWidth="1"/>
    <col min="3" max="3" width="59" bestFit="1" customWidth="1"/>
  </cols>
  <sheetData>
    <row r="1" spans="1:3" ht="15.75" thickBot="1" x14ac:dyDescent="0.3">
      <c r="A1" s="44" t="s">
        <v>81</v>
      </c>
      <c r="B1" s="45" t="s">
        <v>82</v>
      </c>
      <c r="C1" s="44" t="s">
        <v>83</v>
      </c>
    </row>
    <row r="2" spans="1:3" ht="15.75" thickBot="1" x14ac:dyDescent="0.3">
      <c r="A2" s="31" t="s">
        <v>222</v>
      </c>
      <c r="B2" s="41" t="s">
        <v>84</v>
      </c>
      <c r="C2" s="31" t="s">
        <v>223</v>
      </c>
    </row>
    <row r="3" spans="1:3" ht="15.75" thickBot="1" x14ac:dyDescent="0.3">
      <c r="A3" s="32" t="s">
        <v>224</v>
      </c>
      <c r="B3" s="41" t="s">
        <v>84</v>
      </c>
      <c r="C3" s="32" t="s">
        <v>85</v>
      </c>
    </row>
    <row r="4" spans="1:3" ht="15.75" thickBot="1" x14ac:dyDescent="0.3">
      <c r="A4" s="31" t="s">
        <v>225</v>
      </c>
      <c r="B4" s="41" t="s">
        <v>84</v>
      </c>
      <c r="C4" s="31" t="s">
        <v>226</v>
      </c>
    </row>
    <row r="5" spans="1:3" ht="26.25" thickBot="1" x14ac:dyDescent="0.3">
      <c r="A5" s="31" t="s">
        <v>227</v>
      </c>
      <c r="B5" s="41" t="s">
        <v>86</v>
      </c>
      <c r="C5" s="31" t="s">
        <v>228</v>
      </c>
    </row>
    <row r="6" spans="1:3" ht="26.25" thickBot="1" x14ac:dyDescent="0.3">
      <c r="A6" s="31" t="s">
        <v>229</v>
      </c>
      <c r="B6" s="41" t="s">
        <v>87</v>
      </c>
      <c r="C6" s="31" t="s">
        <v>238</v>
      </c>
    </row>
    <row r="7" spans="1:3" ht="15.75" thickBot="1" x14ac:dyDescent="0.3">
      <c r="A7" s="31" t="s">
        <v>230</v>
      </c>
      <c r="B7" s="41" t="s">
        <v>87</v>
      </c>
      <c r="C7" s="31" t="s">
        <v>231</v>
      </c>
    </row>
    <row r="8" spans="1:3" ht="15.75" thickBot="1" x14ac:dyDescent="0.3">
      <c r="A8" s="31" t="s">
        <v>232</v>
      </c>
      <c r="B8" s="41" t="s">
        <v>87</v>
      </c>
      <c r="C8" s="31" t="s">
        <v>233</v>
      </c>
    </row>
    <row r="9" spans="1:3" ht="26.25" thickBot="1" x14ac:dyDescent="0.3">
      <c r="A9" s="31" t="s">
        <v>234</v>
      </c>
      <c r="B9" s="41" t="s">
        <v>88</v>
      </c>
      <c r="C9" s="31" t="s">
        <v>240</v>
      </c>
    </row>
    <row r="10" spans="1:3" ht="15.75" thickBot="1" x14ac:dyDescent="0.3">
      <c r="A10" s="31" t="s">
        <v>235</v>
      </c>
      <c r="B10" s="41" t="s">
        <v>88</v>
      </c>
      <c r="C10" s="31" t="s">
        <v>236</v>
      </c>
    </row>
    <row r="11" spans="1:3" ht="26.25" thickBot="1" x14ac:dyDescent="0.3">
      <c r="A11" s="31" t="s">
        <v>237</v>
      </c>
      <c r="B11" s="41" t="s">
        <v>89</v>
      </c>
      <c r="C11" s="31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BF5D-37F2-440B-A8AD-694E27D4D6E7}">
  <dimension ref="A1:F10"/>
  <sheetViews>
    <sheetView zoomScale="175" zoomScaleNormal="175" workbookViewId="0">
      <selection sqref="A1:F4"/>
    </sheetView>
  </sheetViews>
  <sheetFormatPr defaultRowHeight="15" x14ac:dyDescent="0.25"/>
  <cols>
    <col min="1" max="1" width="23.140625" bestFit="1" customWidth="1"/>
    <col min="2" max="2" width="14.5703125" bestFit="1" customWidth="1"/>
    <col min="3" max="3" width="14.7109375" bestFit="1" customWidth="1"/>
    <col min="4" max="4" width="15.85546875" bestFit="1" customWidth="1"/>
    <col min="5" max="5" width="22" bestFit="1" customWidth="1"/>
    <col min="6" max="6" width="25" bestFit="1" customWidth="1"/>
  </cols>
  <sheetData>
    <row r="1" spans="1:6" ht="15.75" thickBot="1" x14ac:dyDescent="0.3">
      <c r="A1" s="46" t="s">
        <v>90</v>
      </c>
      <c r="B1" s="47" t="s">
        <v>91</v>
      </c>
      <c r="C1" s="46" t="s">
        <v>92</v>
      </c>
      <c r="D1" s="46" t="s">
        <v>93</v>
      </c>
      <c r="E1" s="47" t="s">
        <v>94</v>
      </c>
      <c r="F1" s="46" t="s">
        <v>95</v>
      </c>
    </row>
    <row r="2" spans="1:6" ht="15.75" thickBot="1" x14ac:dyDescent="0.3">
      <c r="A2" s="32" t="s">
        <v>96</v>
      </c>
      <c r="B2" s="41" t="s">
        <v>97</v>
      </c>
      <c r="C2" s="32" t="s">
        <v>98</v>
      </c>
      <c r="D2" s="32" t="s">
        <v>99</v>
      </c>
      <c r="E2" s="41" t="s">
        <v>100</v>
      </c>
      <c r="F2" s="32" t="s">
        <v>101</v>
      </c>
    </row>
    <row r="3" spans="1:6" ht="15.75" thickBot="1" x14ac:dyDescent="0.3">
      <c r="A3" s="32" t="s">
        <v>102</v>
      </c>
      <c r="B3" s="41" t="s">
        <v>103</v>
      </c>
      <c r="C3" s="32" t="s">
        <v>104</v>
      </c>
      <c r="D3" s="32" t="s">
        <v>104</v>
      </c>
      <c r="E3" s="41" t="s">
        <v>99</v>
      </c>
      <c r="F3" s="32" t="s">
        <v>105</v>
      </c>
    </row>
    <row r="4" spans="1:6" ht="15.75" thickBot="1" x14ac:dyDescent="0.3">
      <c r="A4" s="32" t="s">
        <v>106</v>
      </c>
      <c r="B4" s="41" t="s">
        <v>104</v>
      </c>
      <c r="C4" s="32" t="s">
        <v>98</v>
      </c>
      <c r="D4" s="32" t="s">
        <v>107</v>
      </c>
      <c r="E4" s="41" t="s">
        <v>108</v>
      </c>
      <c r="F4" s="32" t="s">
        <v>198</v>
      </c>
    </row>
    <row r="5" spans="1:6" ht="15.75" thickBot="1" x14ac:dyDescent="0.3">
      <c r="A5" s="32" t="s">
        <v>109</v>
      </c>
      <c r="B5" s="41" t="s">
        <v>104</v>
      </c>
      <c r="C5" s="32" t="s">
        <v>104</v>
      </c>
      <c r="D5" s="32" t="s">
        <v>104</v>
      </c>
      <c r="E5" s="41" t="s">
        <v>104</v>
      </c>
      <c r="F5" s="32" t="s">
        <v>199</v>
      </c>
    </row>
    <row r="6" spans="1:6" ht="15.75" thickBot="1" x14ac:dyDescent="0.3">
      <c r="A6" s="32" t="s">
        <v>110</v>
      </c>
      <c r="B6" s="41" t="s">
        <v>111</v>
      </c>
      <c r="C6" s="32" t="s">
        <v>98</v>
      </c>
      <c r="D6" s="32" t="s">
        <v>104</v>
      </c>
      <c r="E6" s="41" t="s">
        <v>104</v>
      </c>
      <c r="F6" s="32" t="s">
        <v>200</v>
      </c>
    </row>
    <row r="7" spans="1:6" ht="15.75" thickBot="1" x14ac:dyDescent="0.3">
      <c r="A7" s="32" t="s">
        <v>112</v>
      </c>
      <c r="B7" s="41" t="s">
        <v>104</v>
      </c>
      <c r="C7" s="32" t="s">
        <v>99</v>
      </c>
      <c r="D7" s="32" t="s">
        <v>113</v>
      </c>
      <c r="E7" s="41" t="s">
        <v>104</v>
      </c>
      <c r="F7" s="32" t="s">
        <v>114</v>
      </c>
    </row>
    <row r="8" spans="1:6" ht="15.75" thickBot="1" x14ac:dyDescent="0.3">
      <c r="A8" s="32" t="s">
        <v>115</v>
      </c>
      <c r="B8" s="41" t="s">
        <v>104</v>
      </c>
      <c r="C8" s="32" t="s">
        <v>104</v>
      </c>
      <c r="D8" s="32" t="s">
        <v>104</v>
      </c>
      <c r="E8" s="41" t="s">
        <v>104</v>
      </c>
      <c r="F8" s="32" t="s">
        <v>116</v>
      </c>
    </row>
    <row r="9" spans="1:6" ht="15.75" thickBot="1" x14ac:dyDescent="0.3">
      <c r="A9" s="32" t="s">
        <v>117</v>
      </c>
      <c r="B9" s="32" t="s">
        <v>118</v>
      </c>
      <c r="C9" s="32" t="s">
        <v>118</v>
      </c>
      <c r="D9" s="32" t="s">
        <v>196</v>
      </c>
      <c r="E9" s="41" t="s">
        <v>197</v>
      </c>
      <c r="F9" s="32" t="s">
        <v>119</v>
      </c>
    </row>
    <row r="10" spans="1:6" ht="26.25" thickBot="1" x14ac:dyDescent="0.3">
      <c r="A10" s="32" t="s">
        <v>201</v>
      </c>
      <c r="B10" s="41" t="s">
        <v>104</v>
      </c>
      <c r="C10" s="32" t="s">
        <v>104</v>
      </c>
      <c r="D10" s="32" t="s">
        <v>104</v>
      </c>
      <c r="E10" s="41" t="s">
        <v>104</v>
      </c>
      <c r="F10" s="3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F3B7-9BA6-414E-BC0C-399A71ED8ADB}">
  <dimension ref="A1:D9"/>
  <sheetViews>
    <sheetView workbookViewId="0">
      <selection activeCell="B22" sqref="B22"/>
    </sheetView>
  </sheetViews>
  <sheetFormatPr defaultRowHeight="15" x14ac:dyDescent="0.25"/>
  <cols>
    <col min="1" max="1" width="13.5703125" bestFit="1" customWidth="1"/>
    <col min="2" max="2" width="54.5703125" bestFit="1" customWidth="1"/>
    <col min="3" max="3" width="23.140625" bestFit="1" customWidth="1"/>
    <col min="4" max="4" width="10.140625" bestFit="1" customWidth="1"/>
  </cols>
  <sheetData>
    <row r="1" spans="1:4" ht="26.25" thickBot="1" x14ac:dyDescent="0.3">
      <c r="A1" s="33" t="s">
        <v>120</v>
      </c>
      <c r="B1" s="34" t="s">
        <v>121</v>
      </c>
      <c r="C1" s="34" t="s">
        <v>122</v>
      </c>
      <c r="D1" s="34" t="s">
        <v>123</v>
      </c>
    </row>
    <row r="2" spans="1:4" x14ac:dyDescent="0.25">
      <c r="A2" s="59" t="s">
        <v>92</v>
      </c>
      <c r="B2" s="35" t="s">
        <v>124</v>
      </c>
      <c r="C2" s="62" t="s">
        <v>125</v>
      </c>
      <c r="D2" s="59" t="s">
        <v>126</v>
      </c>
    </row>
    <row r="3" spans="1:4" x14ac:dyDescent="0.25">
      <c r="A3" s="60"/>
      <c r="B3" s="35" t="s">
        <v>127</v>
      </c>
      <c r="C3" s="63"/>
      <c r="D3" s="60"/>
    </row>
    <row r="4" spans="1:4" x14ac:dyDescent="0.25">
      <c r="A4" s="60"/>
      <c r="B4" s="35" t="s">
        <v>128</v>
      </c>
      <c r="C4" s="63"/>
      <c r="D4" s="60"/>
    </row>
    <row r="5" spans="1:4" x14ac:dyDescent="0.25">
      <c r="A5" s="60"/>
      <c r="B5" s="35" t="s">
        <v>129</v>
      </c>
      <c r="C5" s="63"/>
      <c r="D5" s="60"/>
    </row>
    <row r="6" spans="1:4" ht="15.75" thickBot="1" x14ac:dyDescent="0.3">
      <c r="A6" s="61"/>
      <c r="B6" s="35" t="s">
        <v>130</v>
      </c>
      <c r="C6" s="64"/>
      <c r="D6" s="61"/>
    </row>
    <row r="7" spans="1:4" x14ac:dyDescent="0.25">
      <c r="A7" s="59" t="s">
        <v>131</v>
      </c>
      <c r="B7" s="38" t="s">
        <v>132</v>
      </c>
      <c r="C7" s="62" t="s">
        <v>133</v>
      </c>
      <c r="D7" s="59" t="s">
        <v>134</v>
      </c>
    </row>
    <row r="8" spans="1:4" ht="15.75" thickBot="1" x14ac:dyDescent="0.3">
      <c r="A8" s="61"/>
      <c r="B8" s="39" t="s">
        <v>135</v>
      </c>
      <c r="C8" s="64"/>
      <c r="D8" s="61"/>
    </row>
    <row r="9" spans="1:4" ht="15.75" thickBot="1" x14ac:dyDescent="0.3">
      <c r="A9" s="36" t="s">
        <v>136</v>
      </c>
      <c r="B9" s="39" t="s">
        <v>137</v>
      </c>
      <c r="C9" s="37" t="s">
        <v>138</v>
      </c>
      <c r="D9" s="40" t="s">
        <v>139</v>
      </c>
    </row>
  </sheetData>
  <mergeCells count="6">
    <mergeCell ref="A2:A6"/>
    <mergeCell ref="C2:C6"/>
    <mergeCell ref="D2:D6"/>
    <mergeCell ref="A7:A8"/>
    <mergeCell ref="C7:C8"/>
    <mergeCell ref="D7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D1F3-EB39-4B76-92AA-5639C8E2E032}">
  <dimension ref="A1:B7"/>
  <sheetViews>
    <sheetView workbookViewId="0">
      <selection activeCell="A2" sqref="A2:B2"/>
    </sheetView>
  </sheetViews>
  <sheetFormatPr defaultRowHeight="15" x14ac:dyDescent="0.25"/>
  <cols>
    <col min="1" max="1" width="16.42578125" bestFit="1" customWidth="1"/>
    <col min="2" max="2" width="63.5703125" bestFit="1" customWidth="1"/>
  </cols>
  <sheetData>
    <row r="1" spans="1:2" ht="15.75" thickBot="1" x14ac:dyDescent="0.3">
      <c r="A1" s="44" t="s">
        <v>90</v>
      </c>
      <c r="B1" s="45" t="s">
        <v>140</v>
      </c>
    </row>
    <row r="2" spans="1:2" ht="15.75" thickBot="1" x14ac:dyDescent="0.3">
      <c r="A2" s="31" t="s">
        <v>141</v>
      </c>
      <c r="B2" s="41" t="s">
        <v>142</v>
      </c>
    </row>
    <row r="3" spans="1:2" ht="15.75" thickBot="1" x14ac:dyDescent="0.3">
      <c r="A3" s="32" t="s">
        <v>143</v>
      </c>
      <c r="B3" s="41" t="s">
        <v>144</v>
      </c>
    </row>
    <row r="4" spans="1:2" ht="15.75" thickBot="1" x14ac:dyDescent="0.3">
      <c r="A4" s="31" t="s">
        <v>145</v>
      </c>
      <c r="B4" s="41" t="s">
        <v>146</v>
      </c>
    </row>
    <row r="5" spans="1:2" ht="15.75" thickBot="1" x14ac:dyDescent="0.3">
      <c r="A5" s="31" t="s">
        <v>147</v>
      </c>
      <c r="B5" s="41" t="s">
        <v>148</v>
      </c>
    </row>
    <row r="6" spans="1:2" ht="15.75" thickBot="1" x14ac:dyDescent="0.3">
      <c r="A6" s="31" t="s">
        <v>149</v>
      </c>
      <c r="B6" s="41" t="s">
        <v>150</v>
      </c>
    </row>
    <row r="7" spans="1:2" ht="15.75" thickBot="1" x14ac:dyDescent="0.3">
      <c r="A7" s="31" t="s">
        <v>151</v>
      </c>
      <c r="B7" s="41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C5CE-F0E8-453B-A63A-BBDB539EB61A}">
  <dimension ref="A1:E25"/>
  <sheetViews>
    <sheetView workbookViewId="0">
      <selection activeCell="E7" sqref="A1:E7"/>
    </sheetView>
  </sheetViews>
  <sheetFormatPr defaultRowHeight="15" x14ac:dyDescent="0.25"/>
  <cols>
    <col min="1" max="1" width="15.5703125" bestFit="1" customWidth="1"/>
    <col min="2" max="2" width="32.85546875" bestFit="1" customWidth="1"/>
    <col min="3" max="3" width="21" bestFit="1" customWidth="1"/>
    <col min="4" max="4" width="14.7109375" style="5" bestFit="1" customWidth="1"/>
    <col min="5" max="5" width="76" bestFit="1" customWidth="1"/>
  </cols>
  <sheetData>
    <row r="1" spans="1:5" ht="26.25" thickBot="1" x14ac:dyDescent="0.3">
      <c r="A1" s="46" t="s">
        <v>210</v>
      </c>
      <c r="B1" s="46" t="s">
        <v>153</v>
      </c>
      <c r="C1" s="47" t="s">
        <v>154</v>
      </c>
      <c r="D1" s="53" t="s">
        <v>155</v>
      </c>
      <c r="E1" s="47" t="s">
        <v>156</v>
      </c>
    </row>
    <row r="2" spans="1:5" ht="26.25" thickBot="1" x14ac:dyDescent="0.3">
      <c r="A2" s="32" t="s">
        <v>202</v>
      </c>
      <c r="B2" s="32" t="s">
        <v>157</v>
      </c>
      <c r="C2" s="41" t="s">
        <v>158</v>
      </c>
      <c r="D2" s="54">
        <v>90</v>
      </c>
      <c r="E2" s="41" t="s">
        <v>220</v>
      </c>
    </row>
    <row r="3" spans="1:5" ht="15.75" thickBot="1" x14ac:dyDescent="0.3">
      <c r="A3" s="32" t="s">
        <v>202</v>
      </c>
      <c r="B3" s="32" t="s">
        <v>159</v>
      </c>
      <c r="C3" s="41" t="s">
        <v>160</v>
      </c>
      <c r="D3" s="54">
        <v>75</v>
      </c>
      <c r="E3" s="41" t="s">
        <v>221</v>
      </c>
    </row>
    <row r="4" spans="1:5" ht="26.25" thickBot="1" x14ac:dyDescent="0.3">
      <c r="A4" s="32" t="s">
        <v>202</v>
      </c>
      <c r="B4" s="32" t="s">
        <v>203</v>
      </c>
      <c r="C4" s="41" t="s">
        <v>161</v>
      </c>
      <c r="D4" s="55">
        <v>60</v>
      </c>
      <c r="E4" s="41" t="s">
        <v>219</v>
      </c>
    </row>
    <row r="5" spans="1:5" ht="15.75" thickBot="1" x14ac:dyDescent="0.3">
      <c r="A5" s="32" t="s">
        <v>47</v>
      </c>
      <c r="B5" s="32" t="s">
        <v>204</v>
      </c>
      <c r="C5" s="41" t="s">
        <v>205</v>
      </c>
      <c r="D5" s="54">
        <v>70</v>
      </c>
      <c r="E5" s="41" t="s">
        <v>206</v>
      </c>
    </row>
    <row r="6" spans="1:5" ht="26.25" thickBot="1" x14ac:dyDescent="0.3">
      <c r="A6" s="32" t="s">
        <v>47</v>
      </c>
      <c r="B6" s="32" t="s">
        <v>209</v>
      </c>
      <c r="C6" s="41" t="s">
        <v>207</v>
      </c>
      <c r="D6" s="55">
        <v>55</v>
      </c>
      <c r="E6" s="41" t="s">
        <v>217</v>
      </c>
    </row>
    <row r="7" spans="1:5" ht="15.75" thickBot="1" x14ac:dyDescent="0.3">
      <c r="A7" s="32" t="s">
        <v>47</v>
      </c>
      <c r="B7" s="32" t="s">
        <v>159</v>
      </c>
      <c r="C7" s="41" t="s">
        <v>208</v>
      </c>
      <c r="D7" s="56">
        <v>40</v>
      </c>
      <c r="E7" s="41" t="s">
        <v>218</v>
      </c>
    </row>
    <row r="8" spans="1:5" x14ac:dyDescent="0.25">
      <c r="D8" s="57"/>
    </row>
    <row r="11" spans="1:5" x14ac:dyDescent="0.25">
      <c r="D11" s="50">
        <v>90</v>
      </c>
    </row>
    <row r="12" spans="1:5" x14ac:dyDescent="0.25">
      <c r="D12" s="48">
        <v>75</v>
      </c>
    </row>
    <row r="13" spans="1:5" x14ac:dyDescent="0.25">
      <c r="D13" s="51">
        <v>60</v>
      </c>
    </row>
    <row r="14" spans="1:5" x14ac:dyDescent="0.25">
      <c r="D14" s="48">
        <v>70</v>
      </c>
    </row>
    <row r="15" spans="1:5" x14ac:dyDescent="0.25">
      <c r="D15" s="49">
        <v>55</v>
      </c>
    </row>
    <row r="16" spans="1:5" x14ac:dyDescent="0.25">
      <c r="D16" s="52">
        <v>40</v>
      </c>
    </row>
    <row r="19" spans="1:5" ht="30" x14ac:dyDescent="0.25">
      <c r="A19" s="4" t="s">
        <v>210</v>
      </c>
      <c r="B19" s="4" t="s">
        <v>153</v>
      </c>
      <c r="C19" s="4" t="s">
        <v>154</v>
      </c>
      <c r="D19" s="4" t="s">
        <v>155</v>
      </c>
      <c r="E19" s="4" t="s">
        <v>156</v>
      </c>
    </row>
    <row r="20" spans="1:5" ht="30" x14ac:dyDescent="0.25">
      <c r="A20" s="58" t="s">
        <v>202</v>
      </c>
      <c r="B20" s="58" t="s">
        <v>157</v>
      </c>
      <c r="C20" s="58" t="s">
        <v>158</v>
      </c>
      <c r="D20" s="58">
        <v>90</v>
      </c>
      <c r="E20" s="58" t="s">
        <v>211</v>
      </c>
    </row>
    <row r="21" spans="1:5" ht="30" x14ac:dyDescent="0.25">
      <c r="A21" s="58" t="s">
        <v>202</v>
      </c>
      <c r="B21" s="58" t="s">
        <v>159</v>
      </c>
      <c r="C21" s="58" t="s">
        <v>160</v>
      </c>
      <c r="D21" s="58">
        <v>75</v>
      </c>
      <c r="E21" s="58" t="s">
        <v>212</v>
      </c>
    </row>
    <row r="22" spans="1:5" ht="30" x14ac:dyDescent="0.25">
      <c r="A22" s="58" t="s">
        <v>202</v>
      </c>
      <c r="B22" s="58" t="s">
        <v>203</v>
      </c>
      <c r="C22" s="58" t="s">
        <v>161</v>
      </c>
      <c r="D22" s="58">
        <v>60</v>
      </c>
      <c r="E22" s="58" t="s">
        <v>213</v>
      </c>
    </row>
    <row r="23" spans="1:5" x14ac:dyDescent="0.25">
      <c r="A23" s="58" t="s">
        <v>47</v>
      </c>
      <c r="B23" s="58" t="s">
        <v>204</v>
      </c>
      <c r="C23" s="58" t="s">
        <v>205</v>
      </c>
      <c r="D23" s="58">
        <v>70</v>
      </c>
      <c r="E23" s="58" t="s">
        <v>214</v>
      </c>
    </row>
    <row r="24" spans="1:5" x14ac:dyDescent="0.25">
      <c r="A24" s="58" t="s">
        <v>47</v>
      </c>
      <c r="B24" s="58" t="s">
        <v>209</v>
      </c>
      <c r="C24" s="58" t="s">
        <v>207</v>
      </c>
      <c r="D24" s="58">
        <v>55</v>
      </c>
      <c r="E24" s="58" t="s">
        <v>215</v>
      </c>
    </row>
    <row r="25" spans="1:5" x14ac:dyDescent="0.25">
      <c r="A25" s="58" t="s">
        <v>47</v>
      </c>
      <c r="B25" s="58" t="s">
        <v>159</v>
      </c>
      <c r="C25" s="58" t="s">
        <v>208</v>
      </c>
      <c r="D25" s="58">
        <v>40</v>
      </c>
      <c r="E25" s="58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AA0C-22C9-4A4F-8DBA-5DBA03228071}">
  <dimension ref="A1:D10"/>
  <sheetViews>
    <sheetView workbookViewId="0">
      <selection activeCell="D14" sqref="D14"/>
    </sheetView>
  </sheetViews>
  <sheetFormatPr defaultRowHeight="20.25" customHeight="1" x14ac:dyDescent="0.25"/>
  <cols>
    <col min="1" max="1" width="17.85546875" bestFit="1" customWidth="1"/>
    <col min="2" max="2" width="21.5703125" bestFit="1" customWidth="1"/>
    <col min="3" max="3" width="34.5703125" bestFit="1" customWidth="1"/>
    <col min="4" max="4" width="29" bestFit="1" customWidth="1"/>
  </cols>
  <sheetData>
    <row r="1" spans="1:4" ht="20.25" customHeight="1" thickBot="1" x14ac:dyDescent="0.3">
      <c r="A1" s="33" t="s">
        <v>162</v>
      </c>
      <c r="B1" s="34" t="s">
        <v>163</v>
      </c>
      <c r="C1" s="34" t="s">
        <v>164</v>
      </c>
      <c r="D1" s="34" t="s">
        <v>165</v>
      </c>
    </row>
    <row r="2" spans="1:4" ht="31.5" customHeight="1" thickBot="1" x14ac:dyDescent="0.3">
      <c r="A2" s="65" t="s">
        <v>166</v>
      </c>
      <c r="B2" s="42" t="s">
        <v>167</v>
      </c>
      <c r="C2" s="42" t="s">
        <v>168</v>
      </c>
      <c r="D2" s="42" t="s">
        <v>169</v>
      </c>
    </row>
    <row r="3" spans="1:4" ht="31.5" customHeight="1" thickBot="1" x14ac:dyDescent="0.3">
      <c r="A3" s="66"/>
      <c r="B3" s="42" t="s">
        <v>170</v>
      </c>
      <c r="C3" s="42" t="s">
        <v>171</v>
      </c>
      <c r="D3" s="42" t="s">
        <v>172</v>
      </c>
    </row>
    <row r="4" spans="1:4" ht="31.5" customHeight="1" thickBot="1" x14ac:dyDescent="0.3">
      <c r="A4" s="66"/>
      <c r="B4" s="42" t="s">
        <v>173</v>
      </c>
      <c r="C4" s="42" t="s">
        <v>174</v>
      </c>
      <c r="D4" s="42" t="s">
        <v>175</v>
      </c>
    </row>
    <row r="5" spans="1:4" ht="31.5" customHeight="1" thickBot="1" x14ac:dyDescent="0.3">
      <c r="A5" s="67"/>
      <c r="B5" s="42" t="s">
        <v>176</v>
      </c>
      <c r="C5" s="42" t="s">
        <v>177</v>
      </c>
      <c r="D5" s="42" t="s">
        <v>178</v>
      </c>
    </row>
    <row r="6" spans="1:4" s="43" customFormat="1" ht="31.5" customHeight="1" thickBot="1" x14ac:dyDescent="0.3">
      <c r="A6" s="65" t="s">
        <v>179</v>
      </c>
      <c r="B6" s="42" t="s">
        <v>180</v>
      </c>
      <c r="C6" s="42" t="s">
        <v>181</v>
      </c>
      <c r="D6" s="42" t="s">
        <v>182</v>
      </c>
    </row>
    <row r="7" spans="1:4" s="43" customFormat="1" ht="31.5" customHeight="1" thickBot="1" x14ac:dyDescent="0.3">
      <c r="A7" s="66"/>
      <c r="B7" s="42" t="s">
        <v>183</v>
      </c>
      <c r="C7" s="42" t="s">
        <v>184</v>
      </c>
      <c r="D7" s="42" t="s">
        <v>185</v>
      </c>
    </row>
    <row r="8" spans="1:4" s="43" customFormat="1" ht="31.5" customHeight="1" thickBot="1" x14ac:dyDescent="0.3">
      <c r="A8" s="67"/>
      <c r="B8" s="42" t="s">
        <v>186</v>
      </c>
      <c r="C8" s="42" t="s">
        <v>187</v>
      </c>
      <c r="D8" s="42" t="s">
        <v>188</v>
      </c>
    </row>
    <row r="9" spans="1:4" s="43" customFormat="1" ht="31.5" customHeight="1" thickBot="1" x14ac:dyDescent="0.3">
      <c r="A9" s="65" t="s">
        <v>189</v>
      </c>
      <c r="B9" s="42" t="s">
        <v>190</v>
      </c>
      <c r="C9" s="42" t="s">
        <v>191</v>
      </c>
      <c r="D9" s="42" t="s">
        <v>192</v>
      </c>
    </row>
    <row r="10" spans="1:4" s="43" customFormat="1" ht="31.5" customHeight="1" thickBot="1" x14ac:dyDescent="0.3">
      <c r="A10" s="67"/>
      <c r="B10" s="42" t="s">
        <v>193</v>
      </c>
      <c r="C10" s="42" t="s">
        <v>194</v>
      </c>
      <c r="D10" s="42" t="s">
        <v>195</v>
      </c>
    </row>
  </sheetData>
  <mergeCells count="3">
    <mergeCell ref="A2:A5"/>
    <mergeCell ref="A6:A8"/>
    <mergeCell ref="A9:A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16E6-E3BE-4013-A30D-53A57E6A2B2E}">
  <dimension ref="A1:G11"/>
  <sheetViews>
    <sheetView tabSelected="1" workbookViewId="0">
      <selection activeCell="N7" sqref="N7"/>
    </sheetView>
  </sheetViews>
  <sheetFormatPr defaultRowHeight="15" x14ac:dyDescent="0.25"/>
  <cols>
    <col min="1" max="1" width="14.42578125" style="43" bestFit="1" customWidth="1"/>
    <col min="2" max="2" width="9.28515625" style="43" bestFit="1" customWidth="1"/>
    <col min="3" max="3" width="6.28515625" style="43" bestFit="1" customWidth="1"/>
    <col min="4" max="4" width="10.85546875" style="43" bestFit="1" customWidth="1"/>
    <col min="5" max="5" width="16.28515625" style="43" bestFit="1" customWidth="1"/>
    <col min="6" max="6" width="11.28515625" style="43" bestFit="1" customWidth="1"/>
    <col min="7" max="7" width="8" style="43" bestFit="1" customWidth="1"/>
    <col min="8" max="16384" width="9.140625" style="43"/>
  </cols>
  <sheetData>
    <row r="1" spans="1:7" ht="15.75" thickBot="1" x14ac:dyDescent="0.3">
      <c r="A1" s="72" t="s">
        <v>69</v>
      </c>
      <c r="B1" s="73" t="s">
        <v>250</v>
      </c>
      <c r="C1" s="74" t="s">
        <v>251</v>
      </c>
      <c r="D1" s="74" t="s">
        <v>252</v>
      </c>
      <c r="E1" s="73" t="s">
        <v>253</v>
      </c>
      <c r="F1" s="74" t="s">
        <v>254</v>
      </c>
      <c r="G1" s="74" t="s">
        <v>198</v>
      </c>
    </row>
    <row r="2" spans="1:7" ht="15.75" thickBot="1" x14ac:dyDescent="0.3">
      <c r="A2" s="37" t="s">
        <v>13</v>
      </c>
      <c r="B2" s="75">
        <v>31.637035000000001</v>
      </c>
      <c r="C2" s="76">
        <v>0.35705003000000002</v>
      </c>
      <c r="D2" s="76">
        <v>0.32810002999999999</v>
      </c>
      <c r="E2" s="77">
        <v>0.18</v>
      </c>
      <c r="F2" s="78">
        <v>16.132999999999999</v>
      </c>
      <c r="G2" s="79">
        <v>6</v>
      </c>
    </row>
    <row r="3" spans="1:7" ht="15.75" thickBot="1" x14ac:dyDescent="0.3">
      <c r="A3" s="37" t="s">
        <v>241</v>
      </c>
      <c r="B3" s="75">
        <v>6.5364636999999997</v>
      </c>
      <c r="C3" s="76">
        <v>0.28667998</v>
      </c>
      <c r="D3" s="76">
        <v>9.1050000000000006E-2</v>
      </c>
      <c r="E3" s="77">
        <v>-2.3E-2</v>
      </c>
      <c r="F3" s="78">
        <v>482.32900000000001</v>
      </c>
      <c r="G3" s="79">
        <v>7</v>
      </c>
    </row>
    <row r="4" spans="1:7" ht="15.75" thickBot="1" x14ac:dyDescent="0.3">
      <c r="A4" s="37" t="s">
        <v>242</v>
      </c>
      <c r="B4" s="75">
        <v>5.497217</v>
      </c>
      <c r="C4" s="76">
        <v>0.21410000000000001</v>
      </c>
      <c r="D4" s="76">
        <v>0.16166</v>
      </c>
      <c r="E4" s="77">
        <v>1.2E-2</v>
      </c>
      <c r="F4" s="78">
        <v>107.863</v>
      </c>
      <c r="G4" s="79">
        <v>8</v>
      </c>
    </row>
    <row r="5" spans="1:7" ht="15.75" thickBot="1" x14ac:dyDescent="0.3">
      <c r="A5" s="37" t="s">
        <v>243</v>
      </c>
      <c r="B5" s="75">
        <v>15.653903</v>
      </c>
      <c r="C5" s="76">
        <v>0.12024</v>
      </c>
      <c r="D5" s="76">
        <v>0.128</v>
      </c>
      <c r="E5" s="77">
        <v>5.1999999999999998E-2</v>
      </c>
      <c r="F5" s="78">
        <v>40.908999999999999</v>
      </c>
      <c r="G5" s="79">
        <v>8</v>
      </c>
    </row>
    <row r="6" spans="1:7" ht="15.75" thickBot="1" x14ac:dyDescent="0.3">
      <c r="A6" s="37" t="s">
        <v>244</v>
      </c>
      <c r="B6" s="75">
        <v>76.340819999999994</v>
      </c>
      <c r="C6" s="76">
        <v>0.10027</v>
      </c>
      <c r="D6" s="76">
        <v>9.307E-2</v>
      </c>
      <c r="E6" s="77">
        <v>0.01</v>
      </c>
      <c r="F6" s="78">
        <v>36.442999999999998</v>
      </c>
      <c r="G6" s="79">
        <v>7</v>
      </c>
    </row>
    <row r="7" spans="1:7" ht="15.75" thickBot="1" x14ac:dyDescent="0.3">
      <c r="A7" s="37" t="s">
        <v>245</v>
      </c>
      <c r="B7" s="75">
        <v>14.035971</v>
      </c>
      <c r="C7" s="76">
        <v>0.16822999999999999</v>
      </c>
      <c r="D7" s="76">
        <v>0.11407</v>
      </c>
      <c r="E7" s="77">
        <v>0.02</v>
      </c>
      <c r="F7" s="78">
        <v>67.388999999999996</v>
      </c>
      <c r="G7" s="79">
        <v>8</v>
      </c>
    </row>
    <row r="8" spans="1:7" ht="15.75" thickBot="1" x14ac:dyDescent="0.3">
      <c r="A8" s="37" t="s">
        <v>246</v>
      </c>
      <c r="B8" s="75">
        <v>15.604316000000001</v>
      </c>
      <c r="C8" s="76">
        <v>0.16822999999999999</v>
      </c>
      <c r="D8" s="76">
        <v>0.11407</v>
      </c>
      <c r="E8" s="77">
        <v>0.02</v>
      </c>
      <c r="F8" s="78">
        <v>67.388999999999996</v>
      </c>
      <c r="G8" s="79">
        <v>8</v>
      </c>
    </row>
    <row r="9" spans="1:7" ht="15.75" thickBot="1" x14ac:dyDescent="0.3">
      <c r="A9" s="37" t="s">
        <v>247</v>
      </c>
      <c r="B9" s="75">
        <v>31.338873</v>
      </c>
      <c r="C9" s="76">
        <v>0.35705003000000002</v>
      </c>
      <c r="D9" s="76">
        <v>0.32810002999999999</v>
      </c>
      <c r="E9" s="77">
        <v>0.18</v>
      </c>
      <c r="F9" s="78">
        <v>16.132999999999999</v>
      </c>
      <c r="G9" s="79">
        <v>6</v>
      </c>
    </row>
    <row r="10" spans="1:7" ht="15.75" thickBot="1" x14ac:dyDescent="0.3">
      <c r="A10" s="37" t="s">
        <v>248</v>
      </c>
      <c r="B10" s="75"/>
      <c r="C10" s="76">
        <v>0.36701</v>
      </c>
      <c r="D10" s="76">
        <v>1.968E-2</v>
      </c>
      <c r="E10" s="77">
        <v>0.111</v>
      </c>
      <c r="F10" s="78">
        <v>572.03200000000004</v>
      </c>
      <c r="G10" s="79">
        <v>6</v>
      </c>
    </row>
    <row r="11" spans="1:7" ht="15.75" thickBot="1" x14ac:dyDescent="0.3">
      <c r="A11" s="37" t="s">
        <v>249</v>
      </c>
      <c r="B11" s="75">
        <v>15.604316000000001</v>
      </c>
      <c r="C11" s="76">
        <v>0.191165</v>
      </c>
      <c r="D11" s="76">
        <v>0.11407</v>
      </c>
      <c r="E11" s="77">
        <v>0.02</v>
      </c>
      <c r="F11" s="78">
        <v>67.388999999999996</v>
      </c>
      <c r="G11" s="79">
        <v>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8F30-B7F9-4DA6-91B4-4AA828DEC5EB}">
  <sheetPr>
    <tabColor rgb="FF92D050"/>
  </sheetPr>
  <dimension ref="A1"/>
  <sheetViews>
    <sheetView workbookViewId="0">
      <selection activeCell="D22" sqref="D22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E6C7-0819-4144-9C76-88AA858FAEA7}">
  <dimension ref="A1:J23"/>
  <sheetViews>
    <sheetView workbookViewId="0">
      <selection activeCell="P11" sqref="P11"/>
    </sheetView>
  </sheetViews>
  <sheetFormatPr defaultRowHeight="15" x14ac:dyDescent="0.25"/>
  <cols>
    <col min="2" max="2" width="10.42578125" bestFit="1" customWidth="1"/>
  </cols>
  <sheetData>
    <row r="1" spans="1:10" x14ac:dyDescent="0.25">
      <c r="A1" t="s">
        <v>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12</v>
      </c>
      <c r="B2" s="1">
        <v>45257</v>
      </c>
      <c r="C2" t="s">
        <v>1</v>
      </c>
      <c r="D2">
        <v>39.39</v>
      </c>
      <c r="E2">
        <v>-2.5133000000000001</v>
      </c>
      <c r="F2">
        <v>-0.91390000000000005</v>
      </c>
      <c r="G2">
        <v>-4.8489000000000004</v>
      </c>
      <c r="H2">
        <v>-5.1281999999999996</v>
      </c>
      <c r="I2">
        <v>-6.7275999999999998</v>
      </c>
      <c r="J2">
        <v>3.1987999999999999</v>
      </c>
    </row>
    <row r="3" spans="1:10" x14ac:dyDescent="0.25">
      <c r="A3" t="s">
        <v>12</v>
      </c>
      <c r="B3" s="1">
        <v>45282</v>
      </c>
      <c r="C3" t="s">
        <v>1</v>
      </c>
      <c r="D3">
        <v>41.21</v>
      </c>
      <c r="E3">
        <v>-1.9655</v>
      </c>
      <c r="F3">
        <v>-1.3589</v>
      </c>
      <c r="G3">
        <v>-1.0920000000000001</v>
      </c>
      <c r="H3">
        <v>-5.8966000000000003</v>
      </c>
      <c r="I3">
        <v>-5.0231000000000003</v>
      </c>
      <c r="J3">
        <v>6.9401000000000002</v>
      </c>
    </row>
    <row r="4" spans="1:10" x14ac:dyDescent="0.25">
      <c r="A4" t="s">
        <v>12</v>
      </c>
      <c r="B4" s="1">
        <v>45876</v>
      </c>
      <c r="C4" t="s">
        <v>1</v>
      </c>
      <c r="D4">
        <v>437.34</v>
      </c>
      <c r="E4">
        <v>4.2621000000000002</v>
      </c>
      <c r="F4">
        <v>6.4572000000000003</v>
      </c>
      <c r="G4">
        <v>6.7819000000000003</v>
      </c>
      <c r="H4">
        <v>-0.91459999999999997</v>
      </c>
      <c r="I4">
        <v>-4.2484000000000002</v>
      </c>
      <c r="J4">
        <v>25.083500000000001</v>
      </c>
    </row>
    <row r="5" spans="1:10" x14ac:dyDescent="0.25">
      <c r="A5" t="s">
        <v>12</v>
      </c>
      <c r="B5" s="1">
        <v>46045</v>
      </c>
      <c r="C5" t="s">
        <v>2</v>
      </c>
      <c r="D5">
        <v>524.41</v>
      </c>
      <c r="E5">
        <v>-2.1032999999999999</v>
      </c>
      <c r="F5">
        <v>-3.6516999999999999</v>
      </c>
      <c r="G5">
        <v>-3.4228999999999998</v>
      </c>
      <c r="H5">
        <v>9.7824000000000009</v>
      </c>
      <c r="I5">
        <v>22.442399999999999</v>
      </c>
      <c r="J5">
        <v>25.0167</v>
      </c>
    </row>
    <row r="6" spans="1:10" x14ac:dyDescent="0.25">
      <c r="A6" t="s">
        <v>13</v>
      </c>
      <c r="B6" s="1">
        <v>44958</v>
      </c>
      <c r="C6" t="s">
        <v>1</v>
      </c>
      <c r="D6">
        <v>100.43</v>
      </c>
      <c r="E6">
        <v>7.2786999999999997</v>
      </c>
      <c r="F6">
        <v>4.3314000000000004</v>
      </c>
      <c r="G6">
        <v>2.4594</v>
      </c>
      <c r="H6">
        <v>-1.0555000000000001</v>
      </c>
      <c r="I6">
        <v>-3.4750999999999999</v>
      </c>
      <c r="J6">
        <v>-6.7510000000000003</v>
      </c>
    </row>
    <row r="7" spans="1:10" x14ac:dyDescent="0.25">
      <c r="A7" t="s">
        <v>13</v>
      </c>
      <c r="B7" s="1">
        <v>45012</v>
      </c>
      <c r="C7" t="s">
        <v>1</v>
      </c>
      <c r="D7">
        <v>102.46</v>
      </c>
      <c r="E7">
        <v>-1.3956999999999999</v>
      </c>
      <c r="F7">
        <v>-1.0443</v>
      </c>
      <c r="G7">
        <v>-1.5323</v>
      </c>
      <c r="H7">
        <v>1.8544</v>
      </c>
      <c r="I7">
        <v>2.8206000000000002</v>
      </c>
      <c r="J7">
        <v>1.22</v>
      </c>
    </row>
    <row r="8" spans="1:10" x14ac:dyDescent="0.25">
      <c r="A8" t="s">
        <v>13</v>
      </c>
      <c r="B8" s="1">
        <v>45126</v>
      </c>
      <c r="C8" t="s">
        <v>2</v>
      </c>
      <c r="D8">
        <v>122.03</v>
      </c>
      <c r="E8">
        <v>2.3191000000000002</v>
      </c>
      <c r="F8">
        <v>1.6471</v>
      </c>
      <c r="G8">
        <v>0.40970000000000001</v>
      </c>
      <c r="H8">
        <v>-5.9329999999999998</v>
      </c>
      <c r="I8">
        <v>-5.2035999999999998</v>
      </c>
      <c r="J8">
        <v>-6.4656000000000002</v>
      </c>
    </row>
    <row r="9" spans="1:10" x14ac:dyDescent="0.25">
      <c r="A9" t="s">
        <v>13</v>
      </c>
      <c r="B9" s="1">
        <v>45231</v>
      </c>
      <c r="C9" t="s">
        <v>2</v>
      </c>
      <c r="D9">
        <v>126.45</v>
      </c>
      <c r="E9">
        <v>-0.82250000000000001</v>
      </c>
      <c r="F9">
        <v>-2.0956999999999999</v>
      </c>
      <c r="G9">
        <v>-3.0051000000000001</v>
      </c>
      <c r="H9">
        <v>-4.2625999999999999</v>
      </c>
      <c r="I9">
        <v>-6.4611000000000001</v>
      </c>
      <c r="J9">
        <v>-4.2784000000000004</v>
      </c>
    </row>
    <row r="10" spans="1:10" x14ac:dyDescent="0.25">
      <c r="A10" t="s">
        <v>13</v>
      </c>
      <c r="B10" s="1">
        <v>45796</v>
      </c>
      <c r="C10" t="s">
        <v>1</v>
      </c>
      <c r="D10">
        <v>166.54</v>
      </c>
      <c r="E10">
        <v>-1.5371999999999999</v>
      </c>
      <c r="F10">
        <v>1.2129000000000001</v>
      </c>
      <c r="G10">
        <v>2.6</v>
      </c>
      <c r="H10">
        <v>3.8189000000000002</v>
      </c>
      <c r="I10">
        <v>-0.2162</v>
      </c>
      <c r="J10">
        <v>4.0711000000000004</v>
      </c>
    </row>
    <row r="11" spans="1:10" x14ac:dyDescent="0.25">
      <c r="A11" t="s">
        <v>14</v>
      </c>
      <c r="B11" s="1">
        <v>45492</v>
      </c>
      <c r="C11" t="s">
        <v>1</v>
      </c>
      <c r="D11">
        <v>35.35</v>
      </c>
      <c r="E11">
        <v>2.8299999999999999E-2</v>
      </c>
      <c r="F11">
        <v>-0.2263</v>
      </c>
      <c r="G11">
        <v>0.39600000000000002</v>
      </c>
      <c r="H11">
        <v>0.4526</v>
      </c>
      <c r="I11">
        <v>-0.2263</v>
      </c>
      <c r="J11">
        <v>3.14</v>
      </c>
    </row>
    <row r="12" spans="1:10" x14ac:dyDescent="0.25">
      <c r="A12" t="s">
        <v>14</v>
      </c>
      <c r="B12" s="1">
        <v>45580</v>
      </c>
      <c r="C12" t="s">
        <v>2</v>
      </c>
      <c r="D12">
        <v>36.65</v>
      </c>
      <c r="E12">
        <v>-0.30009999999999998</v>
      </c>
      <c r="F12">
        <v>0</v>
      </c>
      <c r="G12">
        <v>-0.57299999999999995</v>
      </c>
      <c r="H12">
        <v>0.16370000000000001</v>
      </c>
      <c r="I12">
        <v>1.8008</v>
      </c>
      <c r="J12">
        <v>10.9686</v>
      </c>
    </row>
    <row r="13" spans="1:10" x14ac:dyDescent="0.25">
      <c r="A13" t="s">
        <v>14</v>
      </c>
      <c r="B13" s="1">
        <v>45838</v>
      </c>
      <c r="C13" t="s">
        <v>2</v>
      </c>
      <c r="D13">
        <v>30.28</v>
      </c>
      <c r="E13">
        <v>-3.1374</v>
      </c>
      <c r="F13">
        <v>-2.8071000000000002</v>
      </c>
      <c r="G13">
        <v>-2.4108000000000001</v>
      </c>
      <c r="H13">
        <v>-1.2549999999999999</v>
      </c>
      <c r="I13">
        <v>6.7041000000000004</v>
      </c>
      <c r="J13">
        <v>7.3646000000000003</v>
      </c>
    </row>
    <row r="14" spans="1:10" x14ac:dyDescent="0.25">
      <c r="A14" t="s">
        <v>16</v>
      </c>
      <c r="B14" s="1">
        <v>45344</v>
      </c>
      <c r="C14" t="s">
        <v>1</v>
      </c>
      <c r="D14">
        <v>52.41</v>
      </c>
      <c r="E14">
        <v>32.0931</v>
      </c>
      <c r="F14">
        <v>33.333300000000001</v>
      </c>
      <c r="G14">
        <v>53.444000000000003</v>
      </c>
      <c r="H14">
        <v>44.876899999999999</v>
      </c>
      <c r="I14">
        <v>51.631399999999999</v>
      </c>
      <c r="J14">
        <v>63.976300000000002</v>
      </c>
    </row>
    <row r="15" spans="1:10" x14ac:dyDescent="0.25">
      <c r="A15" t="s">
        <v>17</v>
      </c>
      <c r="B15" s="1">
        <v>44958</v>
      </c>
      <c r="C15" t="s">
        <v>1</v>
      </c>
      <c r="D15">
        <v>58.91</v>
      </c>
      <c r="E15">
        <v>8.3178000000000001</v>
      </c>
      <c r="F15">
        <v>0.22070000000000001</v>
      </c>
      <c r="G15">
        <v>1.3070999999999999</v>
      </c>
      <c r="H15">
        <v>5.8902999999999999</v>
      </c>
      <c r="I15">
        <v>15.735900000000001</v>
      </c>
      <c r="J15">
        <v>-2.6650999999999998</v>
      </c>
    </row>
    <row r="16" spans="1:10" x14ac:dyDescent="0.25">
      <c r="A16" t="s">
        <v>17</v>
      </c>
      <c r="B16" s="1">
        <v>45243</v>
      </c>
      <c r="C16" t="s">
        <v>1</v>
      </c>
      <c r="D16">
        <v>89.77</v>
      </c>
      <c r="E16">
        <v>4.3666999999999998</v>
      </c>
      <c r="F16">
        <v>6.0042</v>
      </c>
      <c r="G16">
        <v>5.9263000000000003</v>
      </c>
      <c r="H16">
        <v>6.6615000000000002</v>
      </c>
      <c r="I16">
        <v>5.2022000000000004</v>
      </c>
      <c r="J16">
        <v>11.8748</v>
      </c>
    </row>
    <row r="17" spans="1:10" x14ac:dyDescent="0.25">
      <c r="A17" t="s">
        <v>17</v>
      </c>
      <c r="B17" s="1">
        <v>45741</v>
      </c>
      <c r="C17" t="s">
        <v>2</v>
      </c>
      <c r="D17">
        <v>199.72</v>
      </c>
      <c r="E17">
        <v>3.4298000000000002</v>
      </c>
      <c r="F17">
        <v>2.8540000000000001</v>
      </c>
      <c r="G17">
        <v>8.5670000000000002</v>
      </c>
      <c r="H17">
        <v>8.6621000000000006</v>
      </c>
      <c r="I17">
        <v>17.008800000000001</v>
      </c>
      <c r="J17">
        <v>6.2587999999999999</v>
      </c>
    </row>
    <row r="18" spans="1:10" x14ac:dyDescent="0.25">
      <c r="A18" t="s">
        <v>18</v>
      </c>
      <c r="B18" s="1">
        <v>45020</v>
      </c>
      <c r="C18" t="s">
        <v>1</v>
      </c>
      <c r="D18">
        <v>254.71</v>
      </c>
      <c r="E18">
        <v>1.2877000000000001</v>
      </c>
      <c r="F18">
        <v>0.85980000000000001</v>
      </c>
      <c r="G18">
        <v>1.6607000000000001</v>
      </c>
      <c r="H18">
        <v>2.7717999999999998</v>
      </c>
      <c r="I18">
        <v>17.2196</v>
      </c>
      <c r="J18">
        <v>19.0413</v>
      </c>
    </row>
    <row r="19" spans="1:10" x14ac:dyDescent="0.25">
      <c r="A19" t="s">
        <v>19</v>
      </c>
      <c r="B19" s="1">
        <v>45243</v>
      </c>
      <c r="C19" t="s">
        <v>1</v>
      </c>
      <c r="D19">
        <v>142.59</v>
      </c>
      <c r="E19">
        <v>2.2511999999999999</v>
      </c>
      <c r="F19">
        <v>0.42780000000000001</v>
      </c>
      <c r="G19">
        <v>0.16830000000000001</v>
      </c>
      <c r="H19">
        <v>2.4826000000000001</v>
      </c>
      <c r="I19">
        <v>3.1137999999999999</v>
      </c>
      <c r="J19">
        <v>4.3832000000000004</v>
      </c>
    </row>
    <row r="20" spans="1:10" x14ac:dyDescent="0.25">
      <c r="A20" t="s">
        <v>19</v>
      </c>
      <c r="B20" s="1">
        <v>45967</v>
      </c>
      <c r="C20" t="s">
        <v>1</v>
      </c>
      <c r="D20">
        <v>243.04</v>
      </c>
      <c r="E20">
        <v>0.56369999999999998</v>
      </c>
      <c r="F20">
        <v>2.2054</v>
      </c>
      <c r="G20">
        <v>2.4933999999999998</v>
      </c>
      <c r="H20">
        <v>-2.2465000000000002</v>
      </c>
      <c r="I20">
        <v>-10.656700000000001</v>
      </c>
      <c r="J20">
        <v>-6.6449999999999996</v>
      </c>
    </row>
    <row r="21" spans="1:10" x14ac:dyDescent="0.25">
      <c r="A21" t="s">
        <v>19</v>
      </c>
      <c r="B21" s="1">
        <v>46036</v>
      </c>
      <c r="C21" t="s">
        <v>1</v>
      </c>
      <c r="D21">
        <v>236.65</v>
      </c>
      <c r="E21">
        <v>0.64649999999999996</v>
      </c>
      <c r="F21">
        <v>1.0437000000000001</v>
      </c>
      <c r="G21">
        <v>-2.3875000000000002</v>
      </c>
      <c r="H21">
        <v>-0.97609999999999997</v>
      </c>
      <c r="I21">
        <v>2.1465999999999998</v>
      </c>
      <c r="J21">
        <v>-15.9983</v>
      </c>
    </row>
    <row r="22" spans="1:10" x14ac:dyDescent="0.25">
      <c r="A22" t="s">
        <v>20</v>
      </c>
      <c r="B22" s="1">
        <v>45189</v>
      </c>
      <c r="C22" t="s">
        <v>1</v>
      </c>
      <c r="D22">
        <v>262.58999999999997</v>
      </c>
      <c r="E22">
        <v>-2.6238999999999999</v>
      </c>
      <c r="F22">
        <v>-6.7443999999999997</v>
      </c>
      <c r="G22">
        <v>-5.9408000000000003</v>
      </c>
      <c r="H22">
        <v>-8.4123999999999999</v>
      </c>
      <c r="I22">
        <v>-0.54459999999999997</v>
      </c>
      <c r="J22">
        <v>-16.177299999999999</v>
      </c>
    </row>
    <row r="23" spans="1:10" x14ac:dyDescent="0.25">
      <c r="A23" t="s">
        <v>20</v>
      </c>
      <c r="B23" s="1">
        <v>45267</v>
      </c>
      <c r="C23" t="s">
        <v>1</v>
      </c>
      <c r="D23">
        <v>242.64</v>
      </c>
      <c r="E23">
        <v>0.49459999999999998</v>
      </c>
      <c r="F23">
        <v>-1.1952</v>
      </c>
      <c r="G23">
        <v>-2.3203</v>
      </c>
      <c r="H23">
        <v>3.4660000000000002</v>
      </c>
      <c r="I23">
        <v>4.8879000000000001</v>
      </c>
      <c r="J23">
        <v>-3.1652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FE89-0423-4747-91F1-EB3B75F2F832}">
  <dimension ref="A1:N10"/>
  <sheetViews>
    <sheetView zoomScale="130" zoomScaleNormal="130" workbookViewId="0">
      <selection activeCell="C12" sqref="C12"/>
    </sheetView>
  </sheetViews>
  <sheetFormatPr defaultRowHeight="15" x14ac:dyDescent="0.25"/>
  <sheetData>
    <row r="1" spans="1:14" x14ac:dyDescent="0.25">
      <c r="A1" t="s">
        <v>4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x14ac:dyDescent="0.25">
      <c r="A2" t="s">
        <v>19</v>
      </c>
      <c r="B2">
        <v>3</v>
      </c>
      <c r="C2">
        <v>1.1539999999999999</v>
      </c>
      <c r="D2">
        <v>100</v>
      </c>
      <c r="E2">
        <v>1.226</v>
      </c>
      <c r="F2">
        <v>100</v>
      </c>
      <c r="G2">
        <v>9.0999999999999998E-2</v>
      </c>
      <c r="H2">
        <v>66.67</v>
      </c>
      <c r="I2">
        <v>-0.247</v>
      </c>
      <c r="J2">
        <v>33.33</v>
      </c>
      <c r="K2">
        <v>-1.7989999999999999</v>
      </c>
      <c r="L2">
        <v>66.67</v>
      </c>
      <c r="M2">
        <v>-6.0869999999999997</v>
      </c>
      <c r="N2">
        <v>33.33</v>
      </c>
    </row>
    <row r="3" spans="1:14" x14ac:dyDescent="0.25">
      <c r="A3" t="s">
        <v>12</v>
      </c>
      <c r="B3">
        <v>4</v>
      </c>
      <c r="C3">
        <v>-0.57999999999999996</v>
      </c>
      <c r="D3">
        <v>25</v>
      </c>
      <c r="E3">
        <v>0.13300000000000001</v>
      </c>
      <c r="F3">
        <v>25</v>
      </c>
      <c r="G3">
        <v>-0.64500000000000002</v>
      </c>
      <c r="H3">
        <v>25</v>
      </c>
      <c r="I3">
        <v>-0.53900000000000003</v>
      </c>
      <c r="J3">
        <v>25</v>
      </c>
      <c r="K3">
        <v>1.611</v>
      </c>
      <c r="L3">
        <v>25</v>
      </c>
      <c r="M3">
        <v>15.06</v>
      </c>
      <c r="N3">
        <v>100</v>
      </c>
    </row>
    <row r="4" spans="1:14" x14ac:dyDescent="0.25">
      <c r="A4" t="s">
        <v>14</v>
      </c>
      <c r="B4">
        <v>3</v>
      </c>
      <c r="C4">
        <v>-1.1359999999999999</v>
      </c>
      <c r="D4">
        <v>33.33</v>
      </c>
      <c r="E4">
        <v>-1.0109999999999999</v>
      </c>
      <c r="F4">
        <v>0</v>
      </c>
      <c r="G4">
        <v>-0.86299999999999999</v>
      </c>
      <c r="H4">
        <v>33.33</v>
      </c>
      <c r="I4">
        <v>-0.21299999999999999</v>
      </c>
      <c r="J4">
        <v>66.67</v>
      </c>
      <c r="K4">
        <v>2.76</v>
      </c>
      <c r="L4">
        <v>66.67</v>
      </c>
      <c r="M4">
        <v>7.1580000000000004</v>
      </c>
      <c r="N4">
        <v>100</v>
      </c>
    </row>
    <row r="5" spans="1:14" x14ac:dyDescent="0.25">
      <c r="A5" t="s">
        <v>16</v>
      </c>
      <c r="B5">
        <v>1</v>
      </c>
      <c r="C5">
        <v>32.093000000000004</v>
      </c>
      <c r="D5">
        <v>100</v>
      </c>
      <c r="E5">
        <v>33.332999999999998</v>
      </c>
      <c r="F5">
        <v>100</v>
      </c>
      <c r="G5">
        <v>53.444000000000003</v>
      </c>
      <c r="H5">
        <v>100</v>
      </c>
      <c r="I5">
        <v>44.877000000000002</v>
      </c>
      <c r="J5">
        <v>100</v>
      </c>
      <c r="K5">
        <v>51.631</v>
      </c>
      <c r="L5">
        <v>100</v>
      </c>
      <c r="M5">
        <v>63.975999999999999</v>
      </c>
      <c r="N5">
        <v>100</v>
      </c>
    </row>
    <row r="6" spans="1:14" x14ac:dyDescent="0.25">
      <c r="A6" t="s">
        <v>17</v>
      </c>
      <c r="B6">
        <v>3</v>
      </c>
      <c r="C6">
        <v>5.3710000000000004</v>
      </c>
      <c r="D6">
        <v>100</v>
      </c>
      <c r="E6">
        <v>3.0259999999999998</v>
      </c>
      <c r="F6">
        <v>100</v>
      </c>
      <c r="G6">
        <v>5.2670000000000003</v>
      </c>
      <c r="H6">
        <v>100</v>
      </c>
      <c r="I6">
        <v>7.0709999999999997</v>
      </c>
      <c r="J6">
        <v>100</v>
      </c>
      <c r="K6">
        <v>12.648999999999999</v>
      </c>
      <c r="L6">
        <v>100</v>
      </c>
      <c r="M6">
        <v>5.1559999999999997</v>
      </c>
      <c r="N6">
        <v>66.67</v>
      </c>
    </row>
    <row r="7" spans="1:14" x14ac:dyDescent="0.25">
      <c r="A7" t="s">
        <v>13</v>
      </c>
      <c r="B7">
        <v>5</v>
      </c>
      <c r="C7">
        <v>1.1679999999999999</v>
      </c>
      <c r="D7">
        <v>40</v>
      </c>
      <c r="E7">
        <v>0.81</v>
      </c>
      <c r="F7">
        <v>60</v>
      </c>
      <c r="G7">
        <v>0.186</v>
      </c>
      <c r="H7">
        <v>60</v>
      </c>
      <c r="I7">
        <v>-1.1160000000000001</v>
      </c>
      <c r="J7">
        <v>40</v>
      </c>
      <c r="K7">
        <v>-2.5070000000000001</v>
      </c>
      <c r="L7">
        <v>20</v>
      </c>
      <c r="M7">
        <v>-2.4409999999999998</v>
      </c>
      <c r="N7">
        <v>40</v>
      </c>
    </row>
    <row r="8" spans="1:14" x14ac:dyDescent="0.25">
      <c r="A8" t="s">
        <v>18</v>
      </c>
      <c r="B8">
        <v>1</v>
      </c>
      <c r="C8">
        <v>1.288</v>
      </c>
      <c r="D8">
        <v>100</v>
      </c>
      <c r="E8">
        <v>0.86</v>
      </c>
      <c r="F8">
        <v>100</v>
      </c>
      <c r="G8">
        <v>1.661</v>
      </c>
      <c r="H8">
        <v>100</v>
      </c>
      <c r="I8">
        <v>2.7719999999999998</v>
      </c>
      <c r="J8">
        <v>100</v>
      </c>
      <c r="K8">
        <v>17.22</v>
      </c>
      <c r="L8">
        <v>100</v>
      </c>
      <c r="M8">
        <v>19.041</v>
      </c>
      <c r="N8">
        <v>100</v>
      </c>
    </row>
    <row r="9" spans="1:14" x14ac:dyDescent="0.25">
      <c r="A9" t="s">
        <v>20</v>
      </c>
      <c r="B9">
        <v>2</v>
      </c>
      <c r="C9">
        <v>-1.0649999999999999</v>
      </c>
      <c r="D9">
        <v>50</v>
      </c>
      <c r="E9">
        <v>-3.97</v>
      </c>
      <c r="F9">
        <v>0</v>
      </c>
      <c r="G9">
        <v>-4.1310000000000002</v>
      </c>
      <c r="H9">
        <v>0</v>
      </c>
      <c r="I9">
        <v>-2.4729999999999999</v>
      </c>
      <c r="J9">
        <v>50</v>
      </c>
      <c r="K9">
        <v>2.1720000000000002</v>
      </c>
      <c r="L9">
        <v>50</v>
      </c>
      <c r="M9">
        <v>-9.6709999999999994</v>
      </c>
      <c r="N9">
        <v>0</v>
      </c>
    </row>
    <row r="10" spans="1:14" x14ac:dyDescent="0.25">
      <c r="A10" t="s">
        <v>21</v>
      </c>
      <c r="B10">
        <v>22</v>
      </c>
      <c r="C10">
        <v>2.3149999999999999</v>
      </c>
      <c r="D10">
        <v>59.09</v>
      </c>
      <c r="E10">
        <v>1.8440000000000001</v>
      </c>
      <c r="F10">
        <v>54.55</v>
      </c>
      <c r="G10">
        <v>2.6669999999999998</v>
      </c>
      <c r="H10">
        <v>54.55</v>
      </c>
      <c r="I10">
        <v>2.4910000000000001</v>
      </c>
      <c r="J10">
        <v>54.55</v>
      </c>
      <c r="K10">
        <v>4.9059999999999997</v>
      </c>
      <c r="L10">
        <v>54.55</v>
      </c>
      <c r="M10">
        <v>5.9269999999999996</v>
      </c>
      <c r="N10">
        <v>63.64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DC99-EBF8-4A00-802D-AA0169179304}">
  <dimension ref="A1:G12"/>
  <sheetViews>
    <sheetView workbookViewId="0">
      <selection activeCell="D30" sqref="D30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11</v>
      </c>
      <c r="B2">
        <v>3</v>
      </c>
      <c r="C2">
        <v>66.67</v>
      </c>
      <c r="D2">
        <v>22.059000000000001</v>
      </c>
      <c r="E2">
        <v>110.74</v>
      </c>
      <c r="F2">
        <v>1.02</v>
      </c>
      <c r="G2">
        <v>1.04</v>
      </c>
    </row>
    <row r="3" spans="1:7" x14ac:dyDescent="0.25">
      <c r="A3" t="s">
        <v>12</v>
      </c>
      <c r="B3">
        <v>16</v>
      </c>
      <c r="C3">
        <v>81.25</v>
      </c>
      <c r="D3">
        <v>27.55</v>
      </c>
      <c r="E3">
        <v>4281.1000000000004</v>
      </c>
      <c r="F3">
        <v>2.09</v>
      </c>
      <c r="G3">
        <v>2.33</v>
      </c>
    </row>
    <row r="4" spans="1:7" x14ac:dyDescent="0.25">
      <c r="A4" t="s">
        <v>13</v>
      </c>
      <c r="B4">
        <v>2</v>
      </c>
      <c r="C4">
        <v>100</v>
      </c>
      <c r="D4">
        <v>21.504999999999999</v>
      </c>
      <c r="E4">
        <v>289.29000000000002</v>
      </c>
      <c r="F4">
        <v>1.54</v>
      </c>
      <c r="G4">
        <v>1.57</v>
      </c>
    </row>
    <row r="5" spans="1:7" x14ac:dyDescent="0.25">
      <c r="A5" t="s">
        <v>14</v>
      </c>
      <c r="B5">
        <v>3</v>
      </c>
      <c r="C5">
        <v>0</v>
      </c>
      <c r="D5">
        <v>-24.228999999999999</v>
      </c>
      <c r="E5">
        <v>-65.5</v>
      </c>
      <c r="F5">
        <v>-0.71</v>
      </c>
      <c r="G5">
        <v>-0.63</v>
      </c>
    </row>
    <row r="6" spans="1:7" x14ac:dyDescent="0.25">
      <c r="A6" t="s">
        <v>15</v>
      </c>
      <c r="B6">
        <v>4</v>
      </c>
      <c r="C6">
        <v>75</v>
      </c>
      <c r="D6">
        <v>17.408000000000001</v>
      </c>
      <c r="E6">
        <v>126.64</v>
      </c>
      <c r="F6">
        <v>1.19</v>
      </c>
      <c r="G6">
        <v>1.1299999999999999</v>
      </c>
    </row>
    <row r="7" spans="1:7" x14ac:dyDescent="0.25">
      <c r="A7" t="s">
        <v>16</v>
      </c>
      <c r="B7">
        <v>12</v>
      </c>
      <c r="C7">
        <v>66.67</v>
      </c>
      <c r="D7">
        <v>33.475999999999999</v>
      </c>
      <c r="E7">
        <v>2089.9299999999998</v>
      </c>
      <c r="F7">
        <v>1.44</v>
      </c>
      <c r="G7">
        <v>1.7</v>
      </c>
    </row>
    <row r="8" spans="1:7" x14ac:dyDescent="0.25">
      <c r="A8" t="s">
        <v>17</v>
      </c>
      <c r="B8">
        <v>28</v>
      </c>
      <c r="C8">
        <v>71.430000000000007</v>
      </c>
      <c r="D8">
        <v>5.8579999999999997</v>
      </c>
      <c r="E8">
        <v>342.31</v>
      </c>
      <c r="F8">
        <v>1.57</v>
      </c>
      <c r="G8">
        <v>1.39</v>
      </c>
    </row>
    <row r="9" spans="1:7" x14ac:dyDescent="0.25">
      <c r="A9" t="s">
        <v>18</v>
      </c>
      <c r="B9">
        <v>3</v>
      </c>
      <c r="C9">
        <v>33.33</v>
      </c>
      <c r="D9">
        <v>31.213999999999999</v>
      </c>
      <c r="E9">
        <v>65.180000000000007</v>
      </c>
      <c r="F9">
        <v>0.66</v>
      </c>
      <c r="G9">
        <v>0.7</v>
      </c>
    </row>
    <row r="10" spans="1:7" x14ac:dyDescent="0.25">
      <c r="A10" t="s">
        <v>19</v>
      </c>
      <c r="B10">
        <v>0</v>
      </c>
      <c r="E10">
        <v>191.96</v>
      </c>
      <c r="F10">
        <v>1.18</v>
      </c>
      <c r="G10">
        <v>1.23</v>
      </c>
    </row>
    <row r="11" spans="1:7" x14ac:dyDescent="0.25">
      <c r="A11" t="s">
        <v>20</v>
      </c>
      <c r="B11">
        <v>0</v>
      </c>
      <c r="E11">
        <v>227.3</v>
      </c>
      <c r="F11">
        <v>0.91</v>
      </c>
      <c r="G11">
        <v>0.98</v>
      </c>
    </row>
    <row r="12" spans="1:7" x14ac:dyDescent="0.25">
      <c r="A12" t="s">
        <v>21</v>
      </c>
      <c r="B12">
        <v>71</v>
      </c>
      <c r="C12">
        <v>69.010000000000005</v>
      </c>
      <c r="D12">
        <v>16.989999999999998</v>
      </c>
      <c r="E12">
        <v>42968903.649999999</v>
      </c>
      <c r="F12">
        <v>1.06</v>
      </c>
      <c r="G12">
        <v>1.1599999999999999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A300-0829-47F4-83C8-0244C496CBE7}">
  <dimension ref="A1:D4"/>
  <sheetViews>
    <sheetView zoomScale="145" zoomScaleNormal="145" workbookViewId="0">
      <selection sqref="A1:D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16</v>
      </c>
      <c r="C2">
        <v>0</v>
      </c>
      <c r="D2">
        <v>0</v>
      </c>
    </row>
    <row r="3" spans="1:4" x14ac:dyDescent="0.25">
      <c r="A3" t="s">
        <v>2</v>
      </c>
      <c r="B3">
        <v>5</v>
      </c>
      <c r="C3">
        <v>6</v>
      </c>
      <c r="D3">
        <v>7</v>
      </c>
    </row>
    <row r="4" spans="1:4" x14ac:dyDescent="0.25">
      <c r="A4" t="s">
        <v>3</v>
      </c>
      <c r="B4">
        <v>7615</v>
      </c>
      <c r="C4">
        <v>575</v>
      </c>
      <c r="D4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E254-FFBE-404B-9923-6F5E2BA45FC0}">
  <dimension ref="A2:N75"/>
  <sheetViews>
    <sheetView topLeftCell="A47" zoomScale="89" zoomScaleNormal="130" workbookViewId="0">
      <selection activeCell="G69" sqref="G69"/>
    </sheetView>
  </sheetViews>
  <sheetFormatPr defaultColWidth="8.5703125" defaultRowHeight="21" customHeight="1" x14ac:dyDescent="0.25"/>
  <cols>
    <col min="1" max="1" width="13.42578125" style="10" bestFit="1" customWidth="1"/>
    <col min="2" max="2" width="25.7109375" style="10" bestFit="1" customWidth="1"/>
    <col min="3" max="5" width="22.42578125" style="10" bestFit="1" customWidth="1"/>
    <col min="6" max="7" width="23.42578125" style="10" bestFit="1" customWidth="1"/>
    <col min="8" max="16384" width="8.5703125" style="10"/>
  </cols>
  <sheetData>
    <row r="2" spans="1:14" ht="21" customHeight="1" x14ac:dyDescent="0.25">
      <c r="A2" s="13" t="s">
        <v>49</v>
      </c>
      <c r="B2" s="13" t="s">
        <v>45</v>
      </c>
      <c r="C2" s="13" t="s">
        <v>46</v>
      </c>
      <c r="D2" s="13" t="s">
        <v>47</v>
      </c>
      <c r="E2" s="13" t="s">
        <v>50</v>
      </c>
      <c r="F2" s="13" t="s">
        <v>48</v>
      </c>
    </row>
    <row r="3" spans="1:14" ht="21" customHeight="1" x14ac:dyDescent="0.25">
      <c r="A3" s="12" t="s">
        <v>45</v>
      </c>
      <c r="B3" s="7">
        <v>16</v>
      </c>
      <c r="C3" s="7">
        <v>0</v>
      </c>
      <c r="D3" s="7">
        <v>0</v>
      </c>
      <c r="E3" s="7">
        <f>SUM(B3:D3)</f>
        <v>16</v>
      </c>
      <c r="F3" s="8">
        <f>SUM(B3:D3)/SUM($B$3:$D$5)</f>
        <v>1.9393939393939393E-3</v>
      </c>
    </row>
    <row r="4" spans="1:14" ht="21" customHeight="1" x14ac:dyDescent="0.25">
      <c r="A4" s="12" t="s">
        <v>46</v>
      </c>
      <c r="B4" s="7">
        <v>5</v>
      </c>
      <c r="C4" s="7">
        <v>6</v>
      </c>
      <c r="D4" s="7">
        <v>7</v>
      </c>
      <c r="E4" s="7">
        <f t="shared" ref="E4:E5" si="0">SUM(B4:D4)</f>
        <v>18</v>
      </c>
      <c r="F4" s="8">
        <f t="shared" ref="F4:F5" si="1">SUM(B4:D4)/SUM($B$3:$D$5)</f>
        <v>2.1818181818181819E-3</v>
      </c>
    </row>
    <row r="5" spans="1:14" ht="21" customHeight="1" x14ac:dyDescent="0.25">
      <c r="A5" s="12" t="s">
        <v>47</v>
      </c>
      <c r="B5" s="7">
        <v>7615</v>
      </c>
      <c r="C5" s="7">
        <v>575</v>
      </c>
      <c r="D5" s="7">
        <v>26</v>
      </c>
      <c r="E5" s="7">
        <f t="shared" si="0"/>
        <v>8216</v>
      </c>
      <c r="F5" s="8">
        <f t="shared" si="1"/>
        <v>0.99587878787878792</v>
      </c>
    </row>
    <row r="6" spans="1:14" ht="21" customHeight="1" x14ac:dyDescent="0.25">
      <c r="A6" s="14" t="s">
        <v>50</v>
      </c>
      <c r="B6" s="9">
        <f>SUM(B3:B5)</f>
        <v>7636</v>
      </c>
      <c r="C6" s="9">
        <f t="shared" ref="C6:D6" si="2">SUM(C3:C5)</f>
        <v>581</v>
      </c>
      <c r="D6" s="9">
        <f t="shared" si="2"/>
        <v>33</v>
      </c>
      <c r="E6" s="68">
        <f>SUM(E3:E5)</f>
        <v>8250</v>
      </c>
      <c r="F6" s="70">
        <v>1</v>
      </c>
    </row>
    <row r="7" spans="1:14" ht="21" customHeight="1" x14ac:dyDescent="0.25">
      <c r="A7" s="11" t="s">
        <v>48</v>
      </c>
      <c r="B7" s="8">
        <f>SUM(B3:B5)/SUM($B$3:$D$5)</f>
        <v>0.92557575757575761</v>
      </c>
      <c r="C7" s="8">
        <f t="shared" ref="C7:D7" si="3">SUM(C3:C5)/SUM($B$3:$D$5)</f>
        <v>7.0424242424242431E-2</v>
      </c>
      <c r="D7" s="8">
        <f t="shared" si="3"/>
        <v>4.0000000000000001E-3</v>
      </c>
      <c r="E7" s="69"/>
      <c r="F7" s="71"/>
    </row>
    <row r="8" spans="1:14" ht="21" customHeight="1" x14ac:dyDescent="0.25">
      <c r="A8" s="6"/>
      <c r="B8" s="6"/>
      <c r="C8" s="6"/>
      <c r="D8" s="6"/>
      <c r="E8" s="6"/>
      <c r="F8" s="6"/>
    </row>
    <row r="9" spans="1:14" ht="21" customHeight="1" x14ac:dyDescent="0.25">
      <c r="A9" s="2" t="s">
        <v>4</v>
      </c>
      <c r="B9" t="s">
        <v>21</v>
      </c>
    </row>
    <row r="11" spans="1:14" ht="21" customHeight="1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/>
      <c r="H11"/>
      <c r="I11"/>
      <c r="J11"/>
      <c r="K11"/>
      <c r="L11"/>
      <c r="M11"/>
      <c r="N11"/>
    </row>
    <row r="12" spans="1:14" ht="21" customHeight="1" x14ac:dyDescent="0.25">
      <c r="A12">
        <v>2.3149999999999999</v>
      </c>
      <c r="B12">
        <v>1.8440000000000001</v>
      </c>
      <c r="C12">
        <v>2.6669999999999998</v>
      </c>
      <c r="D12">
        <v>2.4910000000000001</v>
      </c>
      <c r="E12">
        <v>4.9059999999999997</v>
      </c>
      <c r="F12">
        <v>5.9269999999999996</v>
      </c>
      <c r="G12"/>
      <c r="H12"/>
      <c r="I12"/>
      <c r="J12"/>
      <c r="K12"/>
      <c r="L12"/>
      <c r="M12"/>
      <c r="N12"/>
    </row>
    <row r="13" spans="1:14" ht="21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ht="21" customHeight="1" x14ac:dyDescent="0.25">
      <c r="A14" s="2" t="s">
        <v>4</v>
      </c>
      <c r="B14" t="s">
        <v>21</v>
      </c>
      <c r="C14"/>
      <c r="D14"/>
      <c r="E14"/>
      <c r="F14"/>
      <c r="G14"/>
      <c r="H14"/>
      <c r="I14"/>
      <c r="J14"/>
      <c r="K14"/>
      <c r="L14"/>
      <c r="M14"/>
      <c r="N14"/>
    </row>
    <row r="15" spans="1:14" ht="21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ht="21" customHeight="1" x14ac:dyDescent="0.25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/>
      <c r="H16"/>
      <c r="I16"/>
      <c r="J16"/>
      <c r="K16"/>
      <c r="L16"/>
      <c r="M16"/>
      <c r="N16"/>
    </row>
    <row r="17" spans="1:14" ht="21" customHeight="1" x14ac:dyDescent="0.25">
      <c r="A17">
        <v>59.09</v>
      </c>
      <c r="B17">
        <v>54.55</v>
      </c>
      <c r="C17">
        <v>54.55</v>
      </c>
      <c r="D17">
        <v>54.55</v>
      </c>
      <c r="E17">
        <v>54.55</v>
      </c>
      <c r="F17">
        <v>63.64</v>
      </c>
      <c r="G17"/>
      <c r="H17"/>
      <c r="I17"/>
      <c r="J17"/>
      <c r="K17"/>
      <c r="L17"/>
      <c r="M17"/>
      <c r="N17"/>
    </row>
    <row r="18" spans="1:14" ht="21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ht="21" customHeight="1" x14ac:dyDescent="0.25">
      <c r="A19" s="3" t="s">
        <v>64</v>
      </c>
      <c r="B19" s="3" t="s">
        <v>65</v>
      </c>
      <c r="C19" s="3" t="s">
        <v>66</v>
      </c>
      <c r="D19" s="3" t="s">
        <v>67</v>
      </c>
      <c r="E19"/>
      <c r="F19"/>
      <c r="G19"/>
      <c r="H19"/>
      <c r="I19"/>
      <c r="J19"/>
      <c r="K19"/>
      <c r="L19"/>
      <c r="M19"/>
      <c r="N19"/>
    </row>
    <row r="20" spans="1:14" ht="21" customHeight="1" x14ac:dyDescent="0.25">
      <c r="A20" s="3">
        <v>1</v>
      </c>
      <c r="B20" s="3">
        <v>2.3149999999999999</v>
      </c>
      <c r="C20" s="3">
        <v>59.09</v>
      </c>
      <c r="D20" s="3">
        <v>50</v>
      </c>
      <c r="E20"/>
      <c r="F20"/>
      <c r="G20"/>
      <c r="H20"/>
      <c r="I20"/>
      <c r="J20"/>
      <c r="K20"/>
      <c r="L20"/>
      <c r="M20"/>
      <c r="N20"/>
    </row>
    <row r="21" spans="1:14" ht="21" customHeight="1" x14ac:dyDescent="0.25">
      <c r="A21" s="3">
        <v>2</v>
      </c>
      <c r="B21" s="3">
        <v>1.8440000000000001</v>
      </c>
      <c r="C21" s="3">
        <v>54.55</v>
      </c>
      <c r="D21" s="3">
        <v>50</v>
      </c>
      <c r="E21"/>
      <c r="F21"/>
      <c r="G21"/>
      <c r="H21"/>
      <c r="I21"/>
      <c r="J21"/>
      <c r="K21"/>
      <c r="L21"/>
      <c r="M21"/>
      <c r="N21"/>
    </row>
    <row r="22" spans="1:14" ht="21" customHeight="1" x14ac:dyDescent="0.25">
      <c r="A22" s="3">
        <v>3</v>
      </c>
      <c r="B22" s="3">
        <v>2.6669999999999998</v>
      </c>
      <c r="C22" s="3">
        <v>54.55</v>
      </c>
      <c r="D22" s="3">
        <v>50</v>
      </c>
      <c r="E22"/>
      <c r="F22"/>
      <c r="G22"/>
      <c r="H22"/>
      <c r="I22"/>
      <c r="J22"/>
      <c r="K22"/>
      <c r="L22"/>
      <c r="M22"/>
      <c r="N22"/>
    </row>
    <row r="23" spans="1:14" ht="21" customHeight="1" x14ac:dyDescent="0.25">
      <c r="A23" s="3">
        <v>5</v>
      </c>
      <c r="B23" s="3">
        <v>2.4910000000000001</v>
      </c>
      <c r="C23" s="3">
        <v>54.55</v>
      </c>
      <c r="D23" s="3">
        <v>50</v>
      </c>
      <c r="E23"/>
      <c r="F23"/>
      <c r="G23"/>
    </row>
    <row r="24" spans="1:14" ht="21" customHeight="1" x14ac:dyDescent="0.25">
      <c r="A24" s="3">
        <v>10</v>
      </c>
      <c r="B24" s="3">
        <v>4.9059999999999997</v>
      </c>
      <c r="C24" s="3">
        <v>54.55</v>
      </c>
      <c r="D24" s="3">
        <v>50</v>
      </c>
    </row>
    <row r="25" spans="1:14" ht="21" customHeight="1" x14ac:dyDescent="0.25">
      <c r="A25" s="3">
        <v>21</v>
      </c>
      <c r="B25" s="3">
        <v>5.9269999999999996</v>
      </c>
      <c r="C25" s="3">
        <v>63.64</v>
      </c>
      <c r="D25" s="3">
        <v>50</v>
      </c>
    </row>
    <row r="26" spans="1:14" ht="21" customHeight="1" x14ac:dyDescent="0.25">
      <c r="B26"/>
      <c r="C26"/>
    </row>
    <row r="27" spans="1:14" ht="21" customHeight="1" x14ac:dyDescent="0.25">
      <c r="A27"/>
      <c r="B27"/>
      <c r="C27"/>
    </row>
    <row r="28" spans="1:14" ht="21" customHeight="1" x14ac:dyDescent="0.25">
      <c r="A28"/>
      <c r="B28"/>
      <c r="C28"/>
    </row>
    <row r="29" spans="1:14" ht="21" customHeight="1" x14ac:dyDescent="0.25">
      <c r="A29"/>
      <c r="B29"/>
      <c r="C29"/>
    </row>
    <row r="30" spans="1:14" ht="21" customHeight="1" x14ac:dyDescent="0.25">
      <c r="A30"/>
      <c r="B30"/>
      <c r="C30"/>
    </row>
    <row r="31" spans="1:14" ht="21" customHeight="1" x14ac:dyDescent="0.25">
      <c r="B31"/>
      <c r="C31"/>
    </row>
    <row r="40" spans="1:7" ht="21" customHeight="1" x14ac:dyDescent="0.25">
      <c r="A40" s="6"/>
      <c r="B40" s="6"/>
      <c r="C40" s="6"/>
      <c r="D40" s="6"/>
      <c r="E40" s="6"/>
      <c r="F40" s="6"/>
    </row>
    <row r="41" spans="1:7" ht="21" customHeight="1" x14ac:dyDescent="0.25">
      <c r="A41"/>
      <c r="B41"/>
    </row>
    <row r="43" spans="1:7" ht="21" customHeight="1" x14ac:dyDescent="0.25">
      <c r="A43" s="2" t="s">
        <v>57</v>
      </c>
      <c r="B43" t="s">
        <v>68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</row>
    <row r="44" spans="1:7" ht="21" customHeight="1" x14ac:dyDescent="0.25">
      <c r="A44" s="15" t="s">
        <v>19</v>
      </c>
      <c r="B44">
        <v>1.1539999999999999</v>
      </c>
      <c r="C44">
        <v>1.226</v>
      </c>
      <c r="D44">
        <v>9.0999999999999998E-2</v>
      </c>
      <c r="E44">
        <v>-0.247</v>
      </c>
      <c r="F44">
        <v>-1.7989999999999999</v>
      </c>
      <c r="G44">
        <v>-6.0869999999999997</v>
      </c>
    </row>
    <row r="45" spans="1:7" ht="21" customHeight="1" x14ac:dyDescent="0.25">
      <c r="A45" s="15" t="s">
        <v>12</v>
      </c>
      <c r="B45">
        <v>-0.57999999999999996</v>
      </c>
      <c r="C45">
        <v>0.13300000000000001</v>
      </c>
      <c r="D45">
        <v>-0.64500000000000002</v>
      </c>
      <c r="E45">
        <v>-0.53900000000000003</v>
      </c>
      <c r="F45">
        <v>1.611</v>
      </c>
      <c r="G45">
        <v>15.06</v>
      </c>
    </row>
    <row r="46" spans="1:7" ht="15" x14ac:dyDescent="0.25">
      <c r="A46" s="15" t="s">
        <v>14</v>
      </c>
      <c r="B46">
        <v>-1.1359999999999999</v>
      </c>
      <c r="C46">
        <v>-1.0109999999999999</v>
      </c>
      <c r="D46">
        <v>-0.86299999999999999</v>
      </c>
      <c r="E46">
        <v>-0.21299999999999999</v>
      </c>
      <c r="F46">
        <v>2.76</v>
      </c>
      <c r="G46">
        <v>7.1580000000000004</v>
      </c>
    </row>
    <row r="47" spans="1:7" ht="15" x14ac:dyDescent="0.25">
      <c r="A47" s="15" t="s">
        <v>16</v>
      </c>
      <c r="B47">
        <v>32.093000000000004</v>
      </c>
      <c r="C47">
        <v>33.332999999999998</v>
      </c>
      <c r="D47">
        <v>53.444000000000003</v>
      </c>
      <c r="E47">
        <v>44.877000000000002</v>
      </c>
      <c r="F47">
        <v>51.631</v>
      </c>
      <c r="G47">
        <v>63.975999999999999</v>
      </c>
    </row>
    <row r="48" spans="1:7" ht="15" x14ac:dyDescent="0.25">
      <c r="A48" s="15" t="s">
        <v>17</v>
      </c>
      <c r="B48">
        <v>5.3710000000000004</v>
      </c>
      <c r="C48">
        <v>3.0259999999999998</v>
      </c>
      <c r="D48">
        <v>5.2670000000000003</v>
      </c>
      <c r="E48">
        <v>7.0709999999999997</v>
      </c>
      <c r="F48">
        <v>12.648999999999999</v>
      </c>
      <c r="G48">
        <v>5.1559999999999997</v>
      </c>
    </row>
    <row r="49" spans="1:8" ht="15" x14ac:dyDescent="0.25">
      <c r="A49" s="15" t="s">
        <v>13</v>
      </c>
      <c r="B49">
        <v>1.1679999999999999</v>
      </c>
      <c r="C49">
        <v>0.81</v>
      </c>
      <c r="D49">
        <v>0.186</v>
      </c>
      <c r="E49">
        <v>-1.1160000000000001</v>
      </c>
      <c r="F49">
        <v>-2.5070000000000001</v>
      </c>
      <c r="G49">
        <v>-2.4409999999999998</v>
      </c>
    </row>
    <row r="50" spans="1:8" ht="15" x14ac:dyDescent="0.25">
      <c r="A50" s="15" t="s">
        <v>18</v>
      </c>
      <c r="B50">
        <v>1.288</v>
      </c>
      <c r="C50">
        <v>0.86</v>
      </c>
      <c r="D50">
        <v>1.661</v>
      </c>
      <c r="E50">
        <v>2.7719999999999998</v>
      </c>
      <c r="F50">
        <v>17.22</v>
      </c>
      <c r="G50">
        <v>19.041</v>
      </c>
    </row>
    <row r="51" spans="1:8" ht="15" x14ac:dyDescent="0.25">
      <c r="A51" s="15" t="s">
        <v>20</v>
      </c>
      <c r="B51">
        <v>-1.0649999999999999</v>
      </c>
      <c r="C51">
        <v>-3.97</v>
      </c>
      <c r="D51">
        <v>-4.1310000000000002</v>
      </c>
      <c r="E51">
        <v>-2.4729999999999999</v>
      </c>
      <c r="F51">
        <v>2.1720000000000002</v>
      </c>
      <c r="G51">
        <v>-9.6709999999999994</v>
      </c>
    </row>
    <row r="52" spans="1:8" ht="15" x14ac:dyDescent="0.25">
      <c r="A52" s="15" t="s">
        <v>44</v>
      </c>
      <c r="B52">
        <v>4.7866249999999999</v>
      </c>
      <c r="C52">
        <v>34.406999999999996</v>
      </c>
      <c r="D52">
        <v>55.010000000000005</v>
      </c>
      <c r="E52">
        <v>50.131999999999998</v>
      </c>
      <c r="F52">
        <v>83.736999999999995</v>
      </c>
      <c r="G52">
        <v>92.192000000000007</v>
      </c>
    </row>
    <row r="53" spans="1:8" ht="15" x14ac:dyDescent="0.25">
      <c r="A53"/>
      <c r="B53"/>
      <c r="C53"/>
      <c r="D53"/>
      <c r="E53"/>
      <c r="F53"/>
      <c r="G53"/>
    </row>
    <row r="55" spans="1:8" ht="21" customHeight="1" thickBot="1" x14ac:dyDescent="0.3"/>
    <row r="56" spans="1:8" ht="21" customHeight="1" thickBot="1" x14ac:dyDescent="0.3">
      <c r="A56" s="16" t="s">
        <v>69</v>
      </c>
      <c r="B56" s="17" t="s">
        <v>70</v>
      </c>
      <c r="C56" s="17" t="s">
        <v>71</v>
      </c>
      <c r="D56" s="17" t="s">
        <v>72</v>
      </c>
      <c r="E56" s="17" t="s">
        <v>73</v>
      </c>
      <c r="F56" s="17" t="s">
        <v>74</v>
      </c>
      <c r="G56" s="17" t="s">
        <v>75</v>
      </c>
      <c r="H56" s="17" t="s">
        <v>76</v>
      </c>
    </row>
    <row r="57" spans="1:8" ht="21" customHeight="1" thickBot="1" x14ac:dyDescent="0.3">
      <c r="A57" s="18" t="s">
        <v>19</v>
      </c>
      <c r="B57" s="19">
        <v>3</v>
      </c>
      <c r="C57" s="23">
        <v>1.15E-2</v>
      </c>
      <c r="D57" s="23">
        <v>1.23E-2</v>
      </c>
      <c r="E57" s="23">
        <v>8.9999999999999998E-4</v>
      </c>
      <c r="F57" s="23">
        <v>-2.5000000000000001E-3</v>
      </c>
      <c r="G57" s="23">
        <v>-1.8000000000000002E-2</v>
      </c>
      <c r="H57" s="23">
        <v>-6.0899999999999996E-2</v>
      </c>
    </row>
    <row r="58" spans="1:8" ht="21" customHeight="1" thickBot="1" x14ac:dyDescent="0.3">
      <c r="A58" s="18" t="s">
        <v>12</v>
      </c>
      <c r="B58" s="19">
        <v>4</v>
      </c>
      <c r="C58" s="23">
        <v>-5.7999999999999996E-3</v>
      </c>
      <c r="D58" s="23">
        <v>1.2999999999999999E-3</v>
      </c>
      <c r="E58" s="23">
        <v>-6.5000000000000006E-3</v>
      </c>
      <c r="F58" s="23">
        <v>-5.4000000000000003E-3</v>
      </c>
      <c r="G58" s="23">
        <v>1.61E-2</v>
      </c>
      <c r="H58" s="23">
        <v>0.15060000000000001</v>
      </c>
    </row>
    <row r="59" spans="1:8" ht="21" customHeight="1" thickBot="1" x14ac:dyDescent="0.3">
      <c r="A59" s="18" t="s">
        <v>14</v>
      </c>
      <c r="B59" s="19">
        <v>3</v>
      </c>
      <c r="C59" s="23">
        <v>-1.1399999999999999E-2</v>
      </c>
      <c r="D59" s="23">
        <v>-1.01E-2</v>
      </c>
      <c r="E59" s="23">
        <v>-8.6E-3</v>
      </c>
      <c r="F59" s="23">
        <v>-2.0999999999999999E-3</v>
      </c>
      <c r="G59" s="23">
        <v>2.76E-2</v>
      </c>
      <c r="H59" s="23">
        <v>7.1599999999999997E-2</v>
      </c>
    </row>
    <row r="60" spans="1:8" ht="21" customHeight="1" thickBot="1" x14ac:dyDescent="0.3">
      <c r="A60" s="18" t="s">
        <v>16</v>
      </c>
      <c r="B60" s="19">
        <v>1</v>
      </c>
      <c r="C60" s="23">
        <v>0.32090000000000002</v>
      </c>
      <c r="D60" s="23">
        <v>0.33329999999999999</v>
      </c>
      <c r="E60" s="23">
        <v>0.53439999999999999</v>
      </c>
      <c r="F60" s="23">
        <v>0.44880000000000003</v>
      </c>
      <c r="G60" s="23">
        <v>0.51629999999999998</v>
      </c>
      <c r="H60" s="23">
        <v>0.63979999999999992</v>
      </c>
    </row>
    <row r="61" spans="1:8" ht="21" customHeight="1" thickBot="1" x14ac:dyDescent="0.3">
      <c r="A61" s="18" t="s">
        <v>17</v>
      </c>
      <c r="B61" s="19">
        <v>3</v>
      </c>
      <c r="C61" s="23">
        <v>5.3699999999999998E-2</v>
      </c>
      <c r="D61" s="23">
        <v>3.0299999999999997E-2</v>
      </c>
      <c r="E61" s="23">
        <v>5.2699999999999997E-2</v>
      </c>
      <c r="F61" s="23">
        <v>7.0699999999999999E-2</v>
      </c>
      <c r="G61" s="23">
        <v>0.1265</v>
      </c>
      <c r="H61" s="23">
        <v>5.16E-2</v>
      </c>
    </row>
    <row r="62" spans="1:8" ht="21" customHeight="1" thickBot="1" x14ac:dyDescent="0.3">
      <c r="A62" s="18" t="s">
        <v>13</v>
      </c>
      <c r="B62" s="19">
        <v>5</v>
      </c>
      <c r="C62" s="23">
        <v>1.1699999999999999E-2</v>
      </c>
      <c r="D62" s="23">
        <v>8.1000000000000013E-3</v>
      </c>
      <c r="E62" s="23">
        <v>1.9E-3</v>
      </c>
      <c r="F62" s="23">
        <v>-1.1200000000000002E-2</v>
      </c>
      <c r="G62" s="23">
        <v>-2.5099999999999997E-2</v>
      </c>
      <c r="H62" s="23">
        <v>-2.4399999999999998E-2</v>
      </c>
    </row>
    <row r="63" spans="1:8" ht="21" customHeight="1" thickBot="1" x14ac:dyDescent="0.3">
      <c r="A63" s="18" t="s">
        <v>18</v>
      </c>
      <c r="B63" s="19">
        <v>1</v>
      </c>
      <c r="C63" s="23">
        <v>1.29E-2</v>
      </c>
      <c r="D63" s="23">
        <v>8.6E-3</v>
      </c>
      <c r="E63" s="23">
        <v>1.66E-2</v>
      </c>
      <c r="F63" s="23">
        <v>2.7699999999999999E-2</v>
      </c>
      <c r="G63" s="23">
        <v>0.17219999999999999</v>
      </c>
      <c r="H63" s="23">
        <v>0.19039999999999999</v>
      </c>
    </row>
    <row r="64" spans="1:8" ht="21" customHeight="1" thickBot="1" x14ac:dyDescent="0.3">
      <c r="A64" s="18" t="s">
        <v>20</v>
      </c>
      <c r="B64" s="19">
        <v>2</v>
      </c>
      <c r="C64" s="23">
        <v>-1.0700000000000001E-2</v>
      </c>
      <c r="D64" s="23">
        <v>-3.9699999999999999E-2</v>
      </c>
      <c r="E64" s="23">
        <v>-4.1299999999999996E-2</v>
      </c>
      <c r="F64" s="23">
        <v>-2.4700000000000003E-2</v>
      </c>
      <c r="G64" s="23">
        <v>2.1700000000000001E-2</v>
      </c>
      <c r="H64" s="23">
        <v>-9.6699999999999994E-2</v>
      </c>
    </row>
    <row r="65" spans="1:8" ht="21" customHeight="1" thickBot="1" x14ac:dyDescent="0.3">
      <c r="A65" s="20" t="s">
        <v>21</v>
      </c>
      <c r="B65" s="21">
        <v>22</v>
      </c>
      <c r="C65" s="24">
        <v>2.3199999999999998E-2</v>
      </c>
      <c r="D65" s="24">
        <v>1.84E-2</v>
      </c>
      <c r="E65" s="24">
        <v>2.6699999999999998E-2</v>
      </c>
      <c r="F65" s="24">
        <v>2.4900000000000002E-2</v>
      </c>
      <c r="G65" s="24">
        <v>4.9100000000000005E-2</v>
      </c>
      <c r="H65" s="24">
        <v>5.9299999999999999E-2</v>
      </c>
    </row>
    <row r="67" spans="1:8" ht="21" customHeight="1" x14ac:dyDescent="0.25">
      <c r="C67" s="22"/>
      <c r="D67" s="22"/>
      <c r="E67" s="22"/>
      <c r="F67" s="22"/>
      <c r="G67" s="22"/>
      <c r="H67" s="22"/>
    </row>
    <row r="68" spans="1:8" ht="21" customHeight="1" x14ac:dyDescent="0.25">
      <c r="C68" s="22"/>
      <c r="D68" s="22"/>
      <c r="E68" s="22"/>
      <c r="F68" s="22"/>
      <c r="G68" s="22">
        <f>G65-F65</f>
        <v>2.4200000000000003E-2</v>
      </c>
      <c r="H68" s="22"/>
    </row>
    <row r="69" spans="1:8" ht="21" customHeight="1" x14ac:dyDescent="0.25">
      <c r="C69" s="22"/>
      <c r="D69" s="22"/>
      <c r="E69" s="22"/>
      <c r="F69" s="22"/>
      <c r="G69" s="22"/>
      <c r="H69" s="22"/>
    </row>
    <row r="70" spans="1:8" ht="21" customHeight="1" x14ac:dyDescent="0.25">
      <c r="C70" s="22"/>
      <c r="D70" s="22"/>
      <c r="E70" s="22"/>
      <c r="F70" s="22"/>
      <c r="G70" s="22"/>
      <c r="H70" s="22"/>
    </row>
    <row r="71" spans="1:8" ht="21" customHeight="1" x14ac:dyDescent="0.25">
      <c r="C71" s="22"/>
      <c r="D71" s="22"/>
      <c r="E71" s="22"/>
      <c r="F71" s="22"/>
      <c r="G71" s="22"/>
      <c r="H71" s="22"/>
    </row>
    <row r="72" spans="1:8" ht="21" customHeight="1" x14ac:dyDescent="0.25">
      <c r="C72" s="22"/>
      <c r="D72" s="22"/>
      <c r="E72" s="22"/>
      <c r="F72" s="22"/>
      <c r="G72" s="22"/>
      <c r="H72" s="22"/>
    </row>
    <row r="73" spans="1:8" ht="21" customHeight="1" x14ac:dyDescent="0.25">
      <c r="C73" s="22"/>
      <c r="D73" s="22"/>
      <c r="E73" s="22"/>
      <c r="F73" s="22"/>
      <c r="G73" s="22"/>
      <c r="H73" s="22"/>
    </row>
    <row r="74" spans="1:8" ht="21" customHeight="1" x14ac:dyDescent="0.25">
      <c r="C74" s="22"/>
      <c r="D74" s="22"/>
      <c r="E74" s="22"/>
      <c r="F74" s="22"/>
      <c r="G74" s="22"/>
      <c r="H74" s="22"/>
    </row>
    <row r="75" spans="1:8" ht="21" customHeight="1" x14ac:dyDescent="0.25">
      <c r="C75" s="22"/>
      <c r="D75" s="22"/>
      <c r="E75" s="22"/>
      <c r="F75" s="22"/>
      <c r="G75" s="22"/>
      <c r="H75" s="22"/>
    </row>
  </sheetData>
  <mergeCells count="2">
    <mergeCell ref="E6:E7"/>
    <mergeCell ref="F6:F7"/>
  </mergeCell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143F-FD3E-489B-9763-A634E4AA9F53}">
  <dimension ref="A2:C10"/>
  <sheetViews>
    <sheetView zoomScaleNormal="100" workbookViewId="0">
      <selection activeCell="D15" sqref="D15"/>
    </sheetView>
  </sheetViews>
  <sheetFormatPr defaultColWidth="8.7109375" defaultRowHeight="15" x14ac:dyDescent="0.25"/>
  <cols>
    <col min="1" max="1" width="12" style="25" customWidth="1"/>
    <col min="2" max="4" width="18" style="25" customWidth="1"/>
    <col min="5" max="16384" width="8.7109375" style="25"/>
  </cols>
  <sheetData>
    <row r="2" spans="1:3" x14ac:dyDescent="0.25">
      <c r="A2" s="26" t="s">
        <v>69</v>
      </c>
      <c r="B2" s="26" t="s">
        <v>77</v>
      </c>
      <c r="C2" s="26" t="s">
        <v>78</v>
      </c>
    </row>
    <row r="3" spans="1:3" x14ac:dyDescent="0.25">
      <c r="A3" s="27" t="s">
        <v>13</v>
      </c>
      <c r="B3" s="28">
        <f>VLOOKUP(A3,[1]Raw_Data!$A$5:$G$15,3,FALSE())</f>
        <v>100</v>
      </c>
      <c r="C3" s="29">
        <v>85</v>
      </c>
    </row>
    <row r="4" spans="1:3" x14ac:dyDescent="0.25">
      <c r="A4" s="27" t="s">
        <v>12</v>
      </c>
      <c r="B4" s="28">
        <f>VLOOKUP(A4,[1]Raw_Data!$A$5:$G$15,3,FALSE())</f>
        <v>81.25</v>
      </c>
      <c r="C4" s="29">
        <v>85</v>
      </c>
    </row>
    <row r="5" spans="1:3" x14ac:dyDescent="0.25">
      <c r="A5" s="27" t="s">
        <v>15</v>
      </c>
      <c r="B5" s="28">
        <f>VLOOKUP(A5,[1]Raw_Data!$A$5:$G$15,3,FALSE())</f>
        <v>75</v>
      </c>
      <c r="C5" s="29">
        <v>85</v>
      </c>
    </row>
    <row r="6" spans="1:3" x14ac:dyDescent="0.25">
      <c r="A6" s="27" t="s">
        <v>17</v>
      </c>
      <c r="B6" s="28">
        <f>VLOOKUP(A6,[1]Raw_Data!$A$5:$G$15,3,FALSE())</f>
        <v>71.430000000000007</v>
      </c>
      <c r="C6" s="29">
        <v>85</v>
      </c>
    </row>
    <row r="7" spans="1:3" x14ac:dyDescent="0.25">
      <c r="A7" s="27" t="s">
        <v>16</v>
      </c>
      <c r="B7" s="28">
        <f>VLOOKUP(A7,[1]Raw_Data!$A$5:$G$15,3,FALSE())</f>
        <v>66.67</v>
      </c>
      <c r="C7" s="29">
        <v>85</v>
      </c>
    </row>
    <row r="8" spans="1:3" x14ac:dyDescent="0.25">
      <c r="A8" s="27" t="s">
        <v>11</v>
      </c>
      <c r="B8" s="28">
        <f>VLOOKUP(A8,[1]Raw_Data!$A$5:$G$15,3,FALSE())</f>
        <v>66.67</v>
      </c>
      <c r="C8" s="29">
        <v>85</v>
      </c>
    </row>
    <row r="9" spans="1:3" x14ac:dyDescent="0.25">
      <c r="A9" s="27" t="s">
        <v>18</v>
      </c>
      <c r="B9" s="28">
        <f>VLOOKUP(A9,[1]Raw_Data!$A$5:$G$15,3,FALSE())</f>
        <v>33.33</v>
      </c>
      <c r="C9" s="29">
        <v>85</v>
      </c>
    </row>
    <row r="10" spans="1:3" x14ac:dyDescent="0.25">
      <c r="A10" s="27" t="s">
        <v>14</v>
      </c>
      <c r="B10" s="28">
        <f>VLOOKUP(A10,[1]Raw_Data!$A$5:$G$15,3,FALSE())</f>
        <v>0</v>
      </c>
      <c r="C10" s="29">
        <v>85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E775-042E-492A-B18F-94EC939471D4}">
  <dimension ref="A2:C12"/>
  <sheetViews>
    <sheetView topLeftCell="C1" zoomScaleNormal="100" workbookViewId="0">
      <selection activeCell="Q15" sqref="Q15"/>
    </sheetView>
  </sheetViews>
  <sheetFormatPr defaultColWidth="8.7109375" defaultRowHeight="15" x14ac:dyDescent="0.25"/>
  <cols>
    <col min="1" max="1" width="12" style="25" customWidth="1"/>
    <col min="2" max="4" width="18" style="25" customWidth="1"/>
    <col min="5" max="16384" width="8.7109375" style="25"/>
  </cols>
  <sheetData>
    <row r="2" spans="1:3" x14ac:dyDescent="0.25">
      <c r="A2" s="26" t="s">
        <v>69</v>
      </c>
      <c r="B2" s="26" t="s">
        <v>79</v>
      </c>
      <c r="C2" s="26" t="s">
        <v>80</v>
      </c>
    </row>
    <row r="3" spans="1:3" x14ac:dyDescent="0.25">
      <c r="A3" s="27" t="s">
        <v>12</v>
      </c>
      <c r="B3" s="28">
        <f>VLOOKUP(A3,[1]Raw_Data!$A$5:$G$15,6,FALSE())</f>
        <v>2.09</v>
      </c>
      <c r="C3" s="30">
        <v>2.27</v>
      </c>
    </row>
    <row r="4" spans="1:3" x14ac:dyDescent="0.25">
      <c r="A4" s="27" t="s">
        <v>17</v>
      </c>
      <c r="B4" s="28">
        <f>VLOOKUP(A4,[1]Raw_Data!$A$5:$G$15,6,FALSE())</f>
        <v>1.57</v>
      </c>
      <c r="C4" s="30">
        <v>2.27</v>
      </c>
    </row>
    <row r="5" spans="1:3" x14ac:dyDescent="0.25">
      <c r="A5" s="27" t="s">
        <v>13</v>
      </c>
      <c r="B5" s="28">
        <f>VLOOKUP(A5,[1]Raw_Data!$A$5:$G$15,6,FALSE())</f>
        <v>1.54</v>
      </c>
      <c r="C5" s="30">
        <v>2.27</v>
      </c>
    </row>
    <row r="6" spans="1:3" x14ac:dyDescent="0.25">
      <c r="A6" s="27" t="s">
        <v>16</v>
      </c>
      <c r="B6" s="28">
        <f>VLOOKUP(A6,[1]Raw_Data!$A$5:$G$15,6,FALSE())</f>
        <v>1.44</v>
      </c>
      <c r="C6" s="30">
        <v>2.27</v>
      </c>
    </row>
    <row r="7" spans="1:3" x14ac:dyDescent="0.25">
      <c r="A7" s="27" t="s">
        <v>15</v>
      </c>
      <c r="B7" s="28">
        <f>VLOOKUP(A7,[1]Raw_Data!$A$5:$G$15,6,FALSE())</f>
        <v>1.19</v>
      </c>
      <c r="C7" s="30">
        <v>2.27</v>
      </c>
    </row>
    <row r="8" spans="1:3" x14ac:dyDescent="0.25">
      <c r="A8" s="27" t="s">
        <v>19</v>
      </c>
      <c r="B8" s="28">
        <f>VLOOKUP(A8,[1]Raw_Data!$A$5:$G$15,6,FALSE())</f>
        <v>1.18</v>
      </c>
      <c r="C8" s="30">
        <v>2.27</v>
      </c>
    </row>
    <row r="9" spans="1:3" x14ac:dyDescent="0.25">
      <c r="A9" s="27" t="s">
        <v>11</v>
      </c>
      <c r="B9" s="28">
        <f>VLOOKUP(A9,[1]Raw_Data!$A$5:$G$15,6,FALSE())</f>
        <v>1.02</v>
      </c>
      <c r="C9" s="30">
        <v>2.27</v>
      </c>
    </row>
    <row r="10" spans="1:3" x14ac:dyDescent="0.25">
      <c r="A10" s="27" t="s">
        <v>20</v>
      </c>
      <c r="B10" s="28">
        <f>VLOOKUP(A10,[1]Raw_Data!$A$5:$G$15,6,FALSE())</f>
        <v>0.91</v>
      </c>
      <c r="C10" s="30">
        <v>2.27</v>
      </c>
    </row>
    <row r="11" spans="1:3" x14ac:dyDescent="0.25">
      <c r="A11" s="27" t="s">
        <v>18</v>
      </c>
      <c r="B11" s="28">
        <f>VLOOKUP(A11,[1]Raw_Data!$A$5:$G$15,6,FALSE())</f>
        <v>0.66</v>
      </c>
      <c r="C11" s="30">
        <v>2.27</v>
      </c>
    </row>
    <row r="12" spans="1:3" x14ac:dyDescent="0.25">
      <c r="A12" s="27" t="s">
        <v>14</v>
      </c>
      <c r="B12" s="28">
        <f>VLOOKUP(A12,[1]Raw_Data!$A$5:$G$15,6,FALSE())</f>
        <v>-0.71</v>
      </c>
      <c r="C12" s="30">
        <v>2.27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Table3</vt:lpstr>
      <vt:lpstr>Table 4</vt:lpstr>
      <vt:lpstr>Sheet14</vt:lpstr>
      <vt:lpstr>Sheet15</vt:lpstr>
      <vt:lpstr>Sheet1</vt:lpstr>
      <vt:lpstr>Accuracy - &gt;</vt:lpstr>
      <vt:lpstr>signals</vt:lpstr>
      <vt:lpstr>summary</vt:lpstr>
      <vt:lpstr>kadia</vt:lpstr>
      <vt:lpstr>agreement_matrix</vt:lpstr>
      <vt:lpstr>Sheet6</vt:lpstr>
      <vt:lpstr>Accuracy</vt:lpstr>
      <vt:lpstr>Sharpe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Sethmika Bellana</dc:creator>
  <cp:lastModifiedBy>Sethmika Bellana</cp:lastModifiedBy>
  <dcterms:created xsi:type="dcterms:W3CDTF">2026-04-18T07:17:33Z</dcterms:created>
  <dcterms:modified xsi:type="dcterms:W3CDTF">2026-04-20T03:11:28Z</dcterms:modified>
</cp:coreProperties>
</file>