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autoCompressPictures="0"/>
  <mc:AlternateContent xmlns:mc="http://schemas.openxmlformats.org/markup-compatibility/2006">
    <mc:Choice Requires="x15">
      <x15ac:absPath xmlns:x15ac="http://schemas.microsoft.com/office/spreadsheetml/2010/11/ac" url="C:\Users\sethm\Final Year Project\Assessment 3\"/>
    </mc:Choice>
  </mc:AlternateContent>
  <xr:revisionPtr revIDLastSave="0" documentId="8_{2D688852-8882-4B18-B2E5-0DDD876519F7}" xr6:coauthVersionLast="47" xr6:coauthVersionMax="47" xr10:uidLastSave="{00000000-0000-0000-0000-000000000000}"/>
  <bookViews>
    <workbookView xWindow="-108" yWindow="-108" windowWidth="23256" windowHeight="12456" xr2:uid="{00000000-000D-0000-FFFF-FFFF00000000}"/>
  </bookViews>
  <sheets>
    <sheet name="MarkingForm" sheetId="1" r:id="rId1"/>
    <sheet name="Rubrics" sheetId="2" r:id="rId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4" i="1" l="1"/>
  <c r="G24" i="1"/>
  <c r="G4" i="1" l="1"/>
  <c r="B24" i="1"/>
  <c r="G20" i="1"/>
  <c r="G1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tc={0428B4F6-2C46-4BC2-AB40-BF47AE1E3D5A}</author>
    <author>tc={9551E991-DB89-4CC6-A34B-B56E024238AF}</author>
  </authors>
  <commentList>
    <comment ref="D16" authorId="0" shapeId="0" xr:uid="{0428B4F6-2C46-4BC2-AB40-BF47AE1E3D5A}">
      <text>
        <t xml:space="preserve">[Threaded comment]
Your version of Excel allows you to read this threaded comment; however, any edits to it will get removed if the file is opened in a newer version of Excel. Learn more: https://go.microsoft.com/fwlink/?linkid=870924
Comment:
    Describe initial results of a literature survey on a selected research topic/application area related to your project subject.  Use relevant books, published research articles as well as Internet content for the purpose. Make use of in-text references to indicate your sources.
</t>
      </text>
    </comment>
    <comment ref="F23" authorId="1" shapeId="0" xr:uid="{9551E991-DB89-4CC6-A34B-B56E024238AF}">
      <text>
        <t>[Threaded comment]
Your version of Excel allows you to read this threaded comment; however, any edits to it will get removed if the file is opened in a newer version of Excel. Learn more: https://go.microsoft.com/fwlink/?linkid=870924
Comment:
    Tick box if student attended viva</t>
      </text>
    </comment>
  </commentList>
</comments>
</file>

<file path=xl/sharedStrings.xml><?xml version="1.0" encoding="utf-8"?>
<sst xmlns="http://schemas.openxmlformats.org/spreadsheetml/2006/main" count="186" uniqueCount="138">
  <si>
    <t>TOTAL NUMBER OF WORDS</t>
  </si>
  <si>
    <t>Cover page/project title</t>
  </si>
  <si>
    <t>Section</t>
  </si>
  <si>
    <t>TOTAL MARK</t>
  </si>
  <si>
    <t>Appendices</t>
  </si>
  <si>
    <t>Abstract</t>
  </si>
  <si>
    <t>Aknowledgments</t>
  </si>
  <si>
    <t>Table of contents</t>
  </si>
  <si>
    <t>List of figures</t>
  </si>
  <si>
    <t>Structured writing and style</t>
  </si>
  <si>
    <t>Chapter 2. Background</t>
  </si>
  <si>
    <t>Chapter 4. Methodology</t>
  </si>
  <si>
    <t>Chapter 8. Conclusions &amp; reflections</t>
  </si>
  <si>
    <t>Chapter 7. Results analysis and discussion</t>
  </si>
  <si>
    <t xml:space="preserve">Chapter 1. Introduction </t>
  </si>
  <si>
    <t xml:space="preserve">Chapter 6. Model development </t>
  </si>
  <si>
    <t>References</t>
  </si>
  <si>
    <t>List of tables</t>
  </si>
  <si>
    <t>Declaration</t>
  </si>
  <si>
    <t>Bibliography</t>
  </si>
  <si>
    <t>Chapter 3. Legal, ethical, Sustainability and other considerations</t>
  </si>
  <si>
    <t>Subsections (if any)</t>
  </si>
  <si>
    <t>Description</t>
  </si>
  <si>
    <t>N/A</t>
  </si>
  <si>
    <t xml:space="preserve">1.1 Problem statement 
1.2 Aims and objectives 
</t>
  </si>
  <si>
    <t xml:space="preserve">2.1 Literature review 
2.2 Review of methods and applications
2.3 Review of tools
</t>
  </si>
  <si>
    <t>4.1 Data
4.2 Methods</t>
  </si>
  <si>
    <t xml:space="preserve">Clarity and professional presentation of the report including use of tables, figures and overall formatting. 
The concise summary of the project's key elements should be covered in the abstract. Table of contents, ,List of Figures and List of Tables should be comprehensive, correctly numbered and match the structure of the report. </t>
  </si>
  <si>
    <t>It includes a list of cited in-text items. It should be comprehensive, correctly formatted, and consistently follow an academic style, preferably Harvard. The quality and relevance of the sources will also be considered.</t>
  </si>
  <si>
    <t>It includes a list of general reading items. It should be comprehensive, correctly formatted, and consistently follow an academic style, preferably Harvard. The quality and relevance of the sources will also be considered.</t>
  </si>
  <si>
    <t>Appendices can be used to include any additional information that is relevant but is too long or too detailed to include in the main body of your report. It May include: 1) data from requirement gathering, 2) detailed steps of data collection, preprocessing and/or analysis, 3) extended key code, etc.</t>
  </si>
  <si>
    <t>The introduction gives the reader a clear sense of the type of project, purpose and connection to practice. The aim and objectives should be clear and achievable and lead to successful completion of the FYP achieving difficult technical/ research tasks.</t>
  </si>
  <si>
    <t>Appropriate use of language, chapters and sections to set out the argument for the reader, with clear connections within and across different chapters.</t>
  </si>
  <si>
    <t xml:space="preserve">The background chapter demonstrates a comprehensive understanding of the research topic through a well-structured literature review, an in-depth review of relevant methods and applications, and an analysis of tools. Critical and reflective evaluation of the existing work, methods and tools, highlighting gaps, opportunities and justifying the relevance to the project. </t>
  </si>
  <si>
    <t>It includes any legal, ethical, social, professional and security issues associated with the research, the software/application/data infrastructure built and/or the data collected/analysed. Consideration of Sustainability practices in the project.</t>
  </si>
  <si>
    <t xml:space="preserve">Critical review of the methodology used, clearly presenting associated techniques and tools. The methodological approach is appropriate for achieving the objectives and makes contribution to knowledge/practice. </t>
  </si>
  <si>
    <t>Conclusions and recommendations are drawn in reference to the inquiry aim(s) given in the introduction, results and literature. The conclusions include some reflective critique of the process as part of evaluation of findings, limitations and further recommendations. It includes reflections on the resulting application/models, further development of existing skills, acquisition of any new knowledge and skills, and any further work to improve findings and/or application</t>
  </si>
  <si>
    <t xml:space="preserve">Detailed presentation and justification of tools used  for the development of model(s)/ algorithm(s)/ software/ application/ system. </t>
  </si>
  <si>
    <t xml:space="preserve">It includes model development using the selected methods and techniques. It may also include user testing and functional testing if applicable. 
Presentation and critical evaluation of solution produced highlighting technical and analytics competence, creativity and complexity. Demonstrate originality that makes a contribution to knowledge/practice. 
Detailed presentation of model development with elements of critical thinking. Key results should be clearly identified, presented and summarised.
In-depth explanation of the main code written with clear indication of novel code, code that is adopted/adapted and the original sources. Code should be well executed. Different testing techniques are discussed.
Suggestions for further development of the project are presented. </t>
  </si>
  <si>
    <t>Analysis and discussion of key results, and evaluation and comparison of models, with clear evidence of critical thinking.</t>
  </si>
  <si>
    <t>BSc Data Science &amp; Analytics</t>
  </si>
  <si>
    <t>Chapter 5. Tools</t>
  </si>
  <si>
    <t>Feedback</t>
  </si>
  <si>
    <t>Recommended word count</t>
  </si>
  <si>
    <t>Final Year Project (FYP)</t>
  </si>
  <si>
    <t xml:space="preserve">Marking scheme - rubric </t>
  </si>
  <si>
    <t>fail (0-39)</t>
  </si>
  <si>
    <t>pass 
(40-49)</t>
  </si>
  <si>
    <t>2:2 fair
 (50-59)</t>
  </si>
  <si>
    <t>2:1 good
(60-69)</t>
  </si>
  <si>
    <t>1st - very good (70-79)</t>
  </si>
  <si>
    <t>1st - exceptional (80+)</t>
  </si>
  <si>
    <t>Exceptionally clear, polished and professional report. All structural elements flawlessly integrated.</t>
  </si>
  <si>
    <t>Write-up is a limited narrative of what happened. Argument is difficult to follow. Some logical gaps.</t>
  </si>
  <si>
    <t>Bibliography missing or incomplete. Poor formatting.</t>
  </si>
  <si>
    <t>Limited bibliography. Some issues with relevance or formatting.</t>
  </si>
  <si>
    <t>comprehensive and relevant bibliography. Mostly well formatted.</t>
  </si>
  <si>
    <t>Thorough and appropriate bibliography, properly formatted.</t>
  </si>
  <si>
    <t>Extensive, relevant and expertly formatted bibliography.</t>
  </si>
  <si>
    <t xml:space="preserve">Lacks depth or relevance. Poor evaluation of sources. </t>
  </si>
  <si>
    <t>Unclear or inappropriate methodology. Poor justification.</t>
  </si>
  <si>
    <t xml:space="preserve">Acceptable methodology. Some justification and structure. </t>
  </si>
  <si>
    <t>Conclusions and recommendations are drawn in reference to the inquiry aim(s) given in the introduction, results and literature. The conclusions include some reflective critique of the process as part of evaluation of findings, limitations and further recommendations. It includes reflections on the resulting application/models, further development of existing skills, acquisition of any new knowledge and skills, and any further work to improve findings and/or application.</t>
  </si>
  <si>
    <t>Missing or irrelevant conclusions. No reflection on outcomes or process.
No further development of existing skills. No new skills.</t>
  </si>
  <si>
    <t>Weak conclusions. No link to findings or objectives. No suggestionsfor future work. 
Limited or no further development of existing skills. No new skills.</t>
  </si>
  <si>
    <t>Basic summary of findings. Limited reflection or recommendations.
Development of some existing skills and/or gaining some new skills.</t>
  </si>
  <si>
    <t>Conclusions are clear and aligned with objectives. Some reasonable reflection and recommendations. 
Further development of existing skills and gaining some new skills.</t>
  </si>
  <si>
    <t>Strong, evidence-based conclusions. Insightful critique and useful recommendations.
Further development of existing skills and significant gain of new technical/analytical skills.</t>
  </si>
  <si>
    <t xml:space="preserve">Outstanding reflection on process and results. Forward-looking and impactful recommendations based on findings. 
Further development of existing skills and significant gain of new technical/analytical skills.
</t>
  </si>
  <si>
    <t>Tools used are not identified, unclear or inappropriate. No justification or rationale.</t>
  </si>
  <si>
    <t xml:space="preserve">Tools are mentioned but chosen arbitrarily or without alignment to objectives. </t>
  </si>
  <si>
    <t xml:space="preserve">Tools are somewhat appropriate. Some justification, but superficial. </t>
  </si>
  <si>
    <t xml:space="preserve">Excellent justification based on project requirements. Strong understanding of tools' capabilities. </t>
  </si>
  <si>
    <t xml:space="preserve">Thorough comparison and justification of relevant tools. May integrate multiple tools innovatively. </t>
  </si>
  <si>
    <t>Little or no progress towards the solution. Poor or no model development.</t>
  </si>
  <si>
    <t xml:space="preserve">Model(s)/Prototype presented with basic explanation. Limited validation. </t>
  </si>
  <si>
    <t xml:space="preserve">Basic model or prototype, with little explanation or testing. </t>
  </si>
  <si>
    <t>Solid solution that meets core objectives. Good model development with some validation.</t>
  </si>
  <si>
    <t xml:space="preserve">Technically strong and well-justified solution. Comprehensive model development and validation. </t>
  </si>
  <si>
    <t>Exceptional solution development. Model(s) creative, robust and thoroughly validated. Demonstrates deep technical and analytical proficiency.</t>
  </si>
  <si>
    <t>No results presentation or interpretation. Poor visualisation/presentation (e.g. unclear table, wrong charts)</t>
  </si>
  <si>
    <t>Basic results with minimal or incorrect analysis. Visuals poorly used.</t>
  </si>
  <si>
    <t>Results are presented and interpreted, but with limited insight or accuracy.</t>
  </si>
  <si>
    <t xml:space="preserve">Clear, accurate presentation and interpretation of results. Some critical evaluation. </t>
  </si>
  <si>
    <t>In-depth and strong insight. Results are clearly discussed and well supported.</t>
  </si>
  <si>
    <t xml:space="preserve">High-level critical analysis. Insightful comparisons with benchmark/literature. Use of advanced visualisation and metrics. </t>
  </si>
  <si>
    <t>Report is disorganised and lacks essential sections/components. Formatting is inconsistent or confusing.</t>
  </si>
  <si>
    <t>Basic formatting present but inconsistent (e.g. font size, figure captions). Some key sections/components missing or poorly placed.</t>
  </si>
  <si>
    <t xml:space="preserve">Most sections/components are included. Formatting mostly correct but with minor issues in consistency and layout.  </t>
  </si>
  <si>
    <t xml:space="preserve">Well-presented report with all expected sections/components. Clear formatting (e.g. Figures and tables appropriately placed and labelled). Minor issues. </t>
  </si>
  <si>
    <t>Well-formatted and presented report. Few to no issues.</t>
  </si>
  <si>
    <t>Poorly structured writing. Content lacks logical flow within and/ or between sections. Difficult to follow arguments or narrative.</t>
  </si>
  <si>
    <t xml:space="preserve">General structure is evident but could be improved. The arguments developed may be implicit. Some unclear transitions within or  between sections. </t>
  </si>
  <si>
    <t xml:space="preserve">Generally well-structured and coherent writing. Transitions are mostly smooth. </t>
  </si>
  <si>
    <t>Clear, coherent and well-organised writing throughout the report. Arguments are well developed and logically sequenced.</t>
  </si>
  <si>
    <t>Exceptionally clear writing. Fully congruent and cogent arguments.  Seamless transitions and flow.- Complex ideas are clearly presented.</t>
  </si>
  <si>
    <t xml:space="preserve">no or very few in-text citations. Incorrect formatting. </t>
  </si>
  <si>
    <t>Occasional in-text citations. Inconsistent or poor referencing style. Relevance of sources is questionable.</t>
  </si>
  <si>
    <t>Adequate in-text citations. Some errors in formatting or relevance. Some claims are unsupported.</t>
  </si>
  <si>
    <t>Mostly relevant and accurate in-text citations. Consistent use of referencing style.</t>
  </si>
  <si>
    <t>Referencing is accurate and consistenly applied. Sources are well integrated into the text.</t>
  </si>
  <si>
    <t>comprehensive and precise in-text citations. Sources are relevant and used critically to support points. Exemplary use of academic referencing.</t>
  </si>
  <si>
    <t>Acceptable bibliography. Mostly relevant but some lacks academic rigour. Formatting could be improved.</t>
  </si>
  <si>
    <t>Appendices missing, irrelevant or poorly linked to the main text.</t>
  </si>
  <si>
    <t xml:space="preserve">Appendices present but not clearly referenced or explained in the report. </t>
  </si>
  <si>
    <t>Appendices contain relevant materials, but presentation is unclear or incomplete.</t>
  </si>
  <si>
    <t>Relevant and generally useful appendices, including key information or artefacts (e.g. Tables, code, additional results). Content is references appropriately.</t>
  </si>
  <si>
    <t>Well-structured and relevant appendices, meaningfully supporting the report. Clear links to analysis.</t>
  </si>
  <si>
    <t>Highly relevant and well-integrated appendices, adding strong value to the report (e.g. additional models, detailed logs).</t>
  </si>
  <si>
    <t>Poor context. No clear aims/ objectives. The reader can gain a limited or no sense of what the project is about.</t>
  </si>
  <si>
    <t>Vague or overly broad project aims/ objectives, lacking clarity or relevance. The reader can get a clear sense of the type of project. Scope and formulation may not be congruent with the problem statement.</t>
  </si>
  <si>
    <t xml:space="preserve">Aims/ Objectives present but not clearly defined with limited connection to project outcomes. The reader can get a clear sense of the type of project. </t>
  </si>
  <si>
    <t>Clear aims/ objectives that align with the project scope. Context and rationale are reasonable explained.</t>
  </si>
  <si>
    <t xml:space="preserve">Well-presented introduction with relevant background. Objectives are specific, measurable and well-articulated. Strong alignment with research/ practical relevance. </t>
  </si>
  <si>
    <t>Excellent introduction. Aims and objectives are ambitious yet realistic, grounded in relevant theory and practice.</t>
  </si>
  <si>
    <t xml:space="preserve">Limited range of literature. Surface-level understanding. Some relevance but lacks structure and/ or synthesis. </t>
  </si>
  <si>
    <t>Adequate background research. Attempt to compare or evaluate sources, but critical depth is lacking.</t>
  </si>
  <si>
    <t>Good understanding and integration of relevant literature. Some critical evaluation and comparison.</t>
  </si>
  <si>
    <t>Well-researched and critically enagaing review. Applied and theoretical concepts are clearly linked to the project.</t>
  </si>
  <si>
    <t>Insightful and original synthesis of the literature. Shows outstanding knowledge and understanding of the field.</t>
  </si>
  <si>
    <t>Issues not addressed or poorly understood. No evidence of data governance awareness.</t>
  </si>
  <si>
    <t>Some attempt to identify and/ or address issues, but lacks detail or practical implications.</t>
  </si>
  <si>
    <t>addresses some relevant issues but lacks depth or integration.</t>
  </si>
  <si>
    <t>covers key issues with relevance to the project. Shows understanding of ethics, legality and sustainability.</t>
  </si>
  <si>
    <t>Well-considered and thoughtfully integrated discussion of issues into project decisions (e.g. anonymisation, bias mitigation).</t>
  </si>
  <si>
    <t>Deep and reflective analysis of all relevant issues, taking into consideration real-world impact, legal framework, and sustainability principles.</t>
  </si>
  <si>
    <t>Basic description. Weak rationale. Methodology not fully aligned with aims.</t>
  </si>
  <si>
    <t>Sound methodology with suitable justification. Aligned with aims.</t>
  </si>
  <si>
    <t xml:space="preserve">Appropriate, well-justified and critically reviewed methodology. Tailored to project objectives. Justification shows awareness of alternatives. </t>
  </si>
  <si>
    <t xml:space="preserve">Innovative, rigorous and clearly justified methodology. Demonstrates creativity and domain expertise. </t>
  </si>
  <si>
    <t xml:space="preserve">Tools are appropriate for the project. Justification considers strengths/ limitations. </t>
  </si>
  <si>
    <t>Attendance at Viva</t>
  </si>
  <si>
    <t>Viva voce examination is a compulsory part of the assignment. Missing it will result in an automatic fail (a mark of zero will be recorded).</t>
  </si>
  <si>
    <t>MarkAwarded (0 to 100%)</t>
  </si>
  <si>
    <t>Weighted score</t>
  </si>
  <si>
    <t>Weight</t>
  </si>
  <si>
    <t>Appendices can be used to include any additional information that is relevant but is too long or too detailed to include in the main body of your report. It should include at least the followings: 1) link to video demo of the project, 2) link to Project's GitHub page, 3) work submitted as part of the IPD, etc.</t>
  </si>
  <si>
    <t>Chapter 7. Results, analysis and discussion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</si>
</sst>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u/>
      <sz val="11"/>
      <color theme="10"/>
      <name val="Calibri"/>
      <family val="2"/>
      <scheme val="minor"/>
    </font>
    <font>
      <u/>
      <sz val="11"/>
      <color theme="11"/>
      <name val="Calibri"/>
      <family val="2"/>
      <scheme val="minor"/>
    </font>
    <font>
      <sz val="10"/>
      <color theme="1"/>
      <name val="Calibri"/>
      <family val="2"/>
      <scheme val="minor"/>
    </font>
    <font>
      <b/>
      <sz val="10"/>
      <color theme="1"/>
      <name val="Calibri"/>
      <family val="2"/>
      <scheme val="minor"/>
    </font>
    <font>
      <b/>
      <sz val="15"/>
      <color theme="1"/>
      <name val="Calibri"/>
      <family val="2"/>
      <scheme val="minor"/>
    </font>
    <font>
      <sz val="15"/>
      <color theme="1"/>
      <name val="Calibri"/>
      <family val="2"/>
      <scheme val="minor"/>
    </font>
    <font>
      <sz val="15"/>
      <name val="Calibri"/>
      <family val="2"/>
      <scheme val="minor"/>
    </font>
    <font>
      <b/>
      <sz val="15"/>
      <color theme="3"/>
      <name val="Calibri"/>
      <family val="2"/>
      <scheme val="minor"/>
    </font>
    <font>
      <sz val="14"/>
      <color theme="1"/>
      <name val="Calibri"/>
      <family val="2"/>
      <scheme val="minor"/>
    </font>
    <font>
      <b/>
      <sz val="15"/>
      <color theme="1"/>
      <name val="Calibri"/>
      <family val="2"/>
    </font>
    <font>
      <b/>
      <sz val="14"/>
      <color theme="0"/>
      <name val="Calibri"/>
      <family val="2"/>
      <scheme val="minor"/>
    </font>
    <font>
      <sz val="14"/>
      <color rgb="FFFF0000"/>
      <name val="Calibri"/>
      <family val="2"/>
      <scheme val="minor"/>
    </font>
    <font>
      <sz val="14"/>
      <name val="Calibri"/>
      <family val="2"/>
      <scheme val="minor"/>
    </font>
    <font>
      <b/>
      <sz val="14"/>
      <color theme="1"/>
      <name val="Calibri"/>
      <family val="2"/>
      <scheme val="minor"/>
    </font>
    <font>
      <sz val="12"/>
      <color rgb="FFFF0000"/>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4"/>
        <bgColor indexed="64"/>
      </patternFill>
    </fill>
    <fill>
      <patternFill patternType="solid">
        <fgColor rgb="FF92D050"/>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s>
  <cellStyleXfs count="19">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101">
    <xf numFmtId="0" fontId="0" fillId="0" borderId="0" xfId="0"/>
    <xf numFmtId="0" fontId="3" fillId="0" borderId="0" xfId="0" applyFont="1"/>
    <xf numFmtId="0" fontId="3" fillId="0" borderId="0" xfId="0" applyFont="1" applyAlignment="1">
      <alignment horizontal="center"/>
    </xf>
    <xf numFmtId="0" fontId="4" fillId="0" borderId="0" xfId="0" applyFont="1" applyAlignment="1">
      <alignment horizontal="left" vertical="center"/>
    </xf>
    <xf numFmtId="0" fontId="6" fillId="0" borderId="0" xfId="0" applyFont="1"/>
    <xf numFmtId="0" fontId="6" fillId="0" borderId="0" xfId="0" applyFont="1" applyAlignment="1">
      <alignment horizontal="center"/>
    </xf>
    <xf numFmtId="9" fontId="6" fillId="0" borderId="0" xfId="0" applyNumberFormat="1" applyFont="1" applyAlignment="1">
      <alignment horizontal="center"/>
    </xf>
    <xf numFmtId="9" fontId="7" fillId="0" borderId="0" xfId="0" applyNumberFormat="1" applyFont="1" applyAlignment="1">
      <alignment horizontal="center" vertical="center"/>
    </xf>
    <xf numFmtId="0" fontId="3" fillId="0" borderId="0" xfId="0" applyFont="1" applyAlignment="1">
      <alignment horizontal="left" vertical="center" wrapText="1"/>
    </xf>
    <xf numFmtId="0" fontId="11" fillId="3" borderId="3" xfId="0" applyFont="1" applyFill="1" applyBorder="1" applyAlignment="1">
      <alignment horizontal="center" vertical="center" wrapText="1"/>
    </xf>
    <xf numFmtId="0" fontId="11" fillId="3" borderId="3" xfId="0" applyFont="1" applyFill="1" applyBorder="1" applyAlignment="1">
      <alignment horizontal="center" vertical="center"/>
    </xf>
    <xf numFmtId="0" fontId="5" fillId="0" borderId="0" xfId="0" applyFont="1" applyAlignment="1">
      <alignment horizontal="right" vertical="center" wrapText="1"/>
    </xf>
    <xf numFmtId="0" fontId="9" fillId="0" borderId="1" xfId="0" applyFont="1" applyBorder="1" applyAlignment="1">
      <alignment horizontal="center" vertical="center"/>
    </xf>
    <xf numFmtId="0" fontId="0" fillId="0" borderId="1" xfId="0" applyBorder="1" applyAlignment="1">
      <alignment horizontal="justify" vertical="center" wrapText="1"/>
    </xf>
    <xf numFmtId="0" fontId="11" fillId="3" borderId="2" xfId="0" applyFont="1" applyFill="1" applyBorder="1" applyAlignment="1">
      <alignment horizontal="center" vertical="center"/>
    </xf>
    <xf numFmtId="0" fontId="11" fillId="3" borderId="2" xfId="0" applyFont="1" applyFill="1" applyBorder="1" applyAlignment="1">
      <alignment horizontal="center" vertical="center" wrapText="1"/>
    </xf>
    <xf numFmtId="0" fontId="9" fillId="0" borderId="10" xfId="0" applyFont="1" applyBorder="1" applyAlignment="1">
      <alignment horizontal="left" vertical="center"/>
    </xf>
    <xf numFmtId="0" fontId="9" fillId="0" borderId="14" xfId="0" applyFont="1" applyBorder="1" applyAlignment="1">
      <alignment horizontal="left" vertical="center"/>
    </xf>
    <xf numFmtId="0" fontId="9" fillId="0" borderId="16" xfId="0" applyFont="1" applyBorder="1" applyAlignment="1">
      <alignment horizontal="left" vertical="center"/>
    </xf>
    <xf numFmtId="0" fontId="0" fillId="0" borderId="17" xfId="0" applyBorder="1" applyAlignment="1">
      <alignment horizontal="justify" vertical="center" wrapText="1"/>
    </xf>
    <xf numFmtId="0" fontId="9" fillId="0" borderId="1" xfId="0" applyFont="1" applyBorder="1" applyAlignment="1">
      <alignment horizontal="justify" vertical="center" wrapText="1"/>
    </xf>
    <xf numFmtId="0" fontId="0" fillId="0" borderId="1" xfId="0" applyBorder="1" applyAlignment="1">
      <alignment horizontal="justify" vertical="center"/>
    </xf>
    <xf numFmtId="0" fontId="9" fillId="0" borderId="12" xfId="0" applyFont="1" applyBorder="1" applyAlignment="1">
      <alignment horizontal="center" vertical="center"/>
    </xf>
    <xf numFmtId="0" fontId="9" fillId="0" borderId="12" xfId="0" applyFont="1" applyBorder="1" applyAlignment="1">
      <alignment horizontal="justify" vertical="center" wrapText="1"/>
    </xf>
    <xf numFmtId="0" fontId="0" fillId="0" borderId="12" xfId="0" applyBorder="1" applyAlignment="1">
      <alignment horizontal="justify" vertical="center" wrapText="1"/>
    </xf>
    <xf numFmtId="0" fontId="9" fillId="0" borderId="14" xfId="0" applyFont="1" applyBorder="1" applyAlignment="1">
      <alignment horizontal="left" vertical="center" wrapText="1"/>
    </xf>
    <xf numFmtId="0" fontId="5" fillId="4" borderId="5" xfId="0" applyFont="1" applyFill="1" applyBorder="1" applyAlignment="1">
      <alignment horizontal="justify" vertical="center" wrapText="1"/>
    </xf>
    <xf numFmtId="0" fontId="14" fillId="4" borderId="5" xfId="0" applyFont="1" applyFill="1" applyBorder="1" applyAlignment="1">
      <alignment horizontal="center" vertical="center"/>
    </xf>
    <xf numFmtId="0" fontId="5" fillId="4" borderId="5" xfId="0" applyFont="1" applyFill="1" applyBorder="1" applyAlignment="1">
      <alignment horizontal="center"/>
    </xf>
    <xf numFmtId="0" fontId="9" fillId="2" borderId="10" xfId="0" applyFont="1" applyFill="1" applyBorder="1" applyAlignment="1">
      <alignment horizontal="left" vertical="center"/>
    </xf>
    <xf numFmtId="0" fontId="9" fillId="2" borderId="12" xfId="0" applyFont="1" applyFill="1" applyBorder="1" applyAlignment="1">
      <alignment horizontal="center" vertical="center"/>
    </xf>
    <xf numFmtId="0" fontId="9" fillId="2" borderId="14" xfId="0" applyFont="1" applyFill="1" applyBorder="1" applyAlignment="1">
      <alignment horizontal="left" vertical="center"/>
    </xf>
    <xf numFmtId="0" fontId="9" fillId="2"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0" fillId="2" borderId="1" xfId="0" applyFill="1" applyBorder="1" applyAlignment="1">
      <alignment horizontal="justify" vertical="center" wrapText="1"/>
    </xf>
    <xf numFmtId="0" fontId="0" fillId="2" borderId="1" xfId="0" applyFill="1" applyBorder="1" applyAlignment="1">
      <alignment vertical="center" wrapText="1"/>
    </xf>
    <xf numFmtId="0" fontId="9" fillId="2" borderId="16" xfId="0" applyFont="1" applyFill="1" applyBorder="1" applyAlignment="1">
      <alignment horizontal="left" vertical="center"/>
    </xf>
    <xf numFmtId="0" fontId="9" fillId="2" borderId="17" xfId="0" applyFont="1" applyFill="1" applyBorder="1" applyAlignment="1">
      <alignment horizontal="center" vertical="center"/>
    </xf>
    <xf numFmtId="0" fontId="9" fillId="2" borderId="17" xfId="0" applyFont="1" applyFill="1" applyBorder="1" applyAlignment="1">
      <alignment horizontal="center" vertical="center" wrapText="1"/>
    </xf>
    <xf numFmtId="0" fontId="0" fillId="2" borderId="17" xfId="0" applyFill="1" applyBorder="1" applyAlignment="1">
      <alignment horizontal="justify" vertical="center" wrapText="1"/>
    </xf>
    <xf numFmtId="0" fontId="9" fillId="2" borderId="12" xfId="0" applyFont="1" applyFill="1" applyBorder="1" applyAlignment="1">
      <alignment horizontal="justify" vertical="center"/>
    </xf>
    <xf numFmtId="0" fontId="0" fillId="2" borderId="12" xfId="0" applyFill="1" applyBorder="1" applyAlignment="1">
      <alignment horizontal="justify" vertical="center"/>
    </xf>
    <xf numFmtId="0" fontId="9" fillId="2" borderId="1" xfId="0" applyFont="1" applyFill="1" applyBorder="1" applyAlignment="1">
      <alignment horizontal="justify" vertical="center" wrapText="1"/>
    </xf>
    <xf numFmtId="0" fontId="8" fillId="0" borderId="7" xfId="0" applyFont="1" applyBorder="1" applyAlignment="1">
      <alignment horizontal="left" vertical="center"/>
    </xf>
    <xf numFmtId="0" fontId="10" fillId="0" borderId="9" xfId="0" applyFont="1" applyBorder="1" applyAlignment="1">
      <alignment horizontal="left"/>
    </xf>
    <xf numFmtId="0" fontId="9" fillId="2" borderId="13"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9" fillId="0" borderId="13" xfId="0" applyFont="1" applyBorder="1" applyAlignment="1">
      <alignment horizontal="left" vertical="center" wrapText="1"/>
    </xf>
    <xf numFmtId="0" fontId="9" fillId="0" borderId="15" xfId="0" applyFont="1" applyBorder="1" applyAlignment="1">
      <alignment horizontal="left" vertical="center" wrapText="1"/>
    </xf>
    <xf numFmtId="0" fontId="9" fillId="0" borderId="21" xfId="0" applyFont="1" applyBorder="1" applyAlignment="1">
      <alignment horizontal="left" vertical="center"/>
    </xf>
    <xf numFmtId="0" fontId="9" fillId="0" borderId="2" xfId="0" applyFont="1" applyBorder="1" applyAlignment="1">
      <alignment horizontal="center" vertical="center"/>
    </xf>
    <xf numFmtId="0" fontId="9" fillId="0" borderId="2" xfId="0" applyFont="1" applyBorder="1" applyAlignment="1">
      <alignment horizontal="justify" vertical="center" wrapText="1"/>
    </xf>
    <xf numFmtId="0" fontId="0" fillId="0" borderId="2" xfId="0" applyBorder="1" applyAlignment="1">
      <alignment horizontal="justify" vertical="center" wrapText="1"/>
    </xf>
    <xf numFmtId="0" fontId="9" fillId="0" borderId="22" xfId="0" applyFont="1" applyBorder="1" applyAlignment="1">
      <alignment horizontal="left" vertical="center" wrapText="1"/>
    </xf>
    <xf numFmtId="0" fontId="9" fillId="2" borderId="21" xfId="0" applyFont="1" applyFill="1" applyBorder="1" applyAlignment="1">
      <alignment horizontal="left" vertical="center"/>
    </xf>
    <xf numFmtId="0" fontId="9" fillId="2" borderId="2" xfId="0" applyFont="1" applyFill="1" applyBorder="1" applyAlignment="1">
      <alignment horizontal="center" vertical="center"/>
    </xf>
    <xf numFmtId="0" fontId="9" fillId="2" borderId="2" xfId="0" applyFont="1" applyFill="1" applyBorder="1" applyAlignment="1">
      <alignment horizontal="justify" vertical="center" wrapText="1"/>
    </xf>
    <xf numFmtId="0" fontId="0" fillId="2" borderId="2" xfId="0" applyFill="1" applyBorder="1" applyAlignment="1">
      <alignment horizontal="justify" vertical="center" wrapText="1"/>
    </xf>
    <xf numFmtId="0" fontId="9" fillId="2" borderId="22" xfId="0" applyFont="1" applyFill="1" applyBorder="1" applyAlignment="1">
      <alignment horizontal="left" vertical="center" wrapText="1"/>
    </xf>
    <xf numFmtId="0" fontId="9" fillId="0" borderId="23" xfId="0" applyFont="1" applyBorder="1" applyAlignment="1">
      <alignment horizontal="left" vertical="center"/>
    </xf>
    <xf numFmtId="0" fontId="9" fillId="0" borderId="24" xfId="0" applyFont="1" applyBorder="1" applyAlignment="1">
      <alignment horizontal="center" vertical="center"/>
    </xf>
    <xf numFmtId="0" fontId="9" fillId="0" borderId="24" xfId="0" applyFont="1" applyBorder="1" applyAlignment="1">
      <alignment horizontal="justify" vertical="center" wrapText="1"/>
    </xf>
    <xf numFmtId="0" fontId="0" fillId="0" borderId="24" xfId="0" applyBorder="1" applyAlignment="1">
      <alignment horizontal="justify" vertical="center" wrapText="1"/>
    </xf>
    <xf numFmtId="9" fontId="13" fillId="0" borderId="24" xfId="0" applyNumberFormat="1" applyFont="1" applyBorder="1" applyAlignment="1">
      <alignment horizontal="center" vertical="center"/>
    </xf>
    <xf numFmtId="0" fontId="15" fillId="0" borderId="24" xfId="0" applyFont="1" applyBorder="1" applyAlignment="1">
      <alignment horizontal="center" vertical="center"/>
      <extLst>
        <ext xmlns:xfpb="http://schemas.microsoft.com/office/spreadsheetml/2022/featurepropertybag" uri="{C7286773-470A-42A8-94C5-96B5CB345126}">
          <xfpb:xfComplement i="0"/>
        </ext>
      </extLst>
    </xf>
    <xf numFmtId="0" fontId="9" fillId="0" borderId="25" xfId="0" applyFont="1" applyBorder="1" applyAlignment="1">
      <alignment horizontal="left" vertical="center" wrapText="1"/>
    </xf>
    <xf numFmtId="0" fontId="0" fillId="2" borderId="11" xfId="0" applyFill="1" applyBorder="1" applyAlignment="1">
      <alignment horizontal="left" vertical="center" wrapText="1"/>
    </xf>
    <xf numFmtId="0" fontId="0" fillId="2" borderId="4" xfId="0" applyFill="1" applyBorder="1" applyAlignment="1">
      <alignment horizontal="left" vertical="center"/>
    </xf>
    <xf numFmtId="0" fontId="0" fillId="2" borderId="5" xfId="0" applyFill="1" applyBorder="1" applyAlignment="1">
      <alignment horizontal="left" vertical="center"/>
    </xf>
    <xf numFmtId="0" fontId="11" fillId="3" borderId="19" xfId="0" applyFont="1" applyFill="1" applyBorder="1" applyAlignment="1">
      <alignment horizontal="center" vertical="center" wrapText="1"/>
    </xf>
    <xf numFmtId="0" fontId="11" fillId="3" borderId="20" xfId="0" applyFont="1" applyFill="1" applyBorder="1" applyAlignment="1">
      <alignment horizontal="center" vertical="center" wrapText="1"/>
    </xf>
    <xf numFmtId="0" fontId="9" fillId="2" borderId="13"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9" fillId="2" borderId="18" xfId="0" applyFont="1" applyFill="1" applyBorder="1" applyAlignment="1">
      <alignment horizontal="left" vertical="center" wrapText="1"/>
    </xf>
    <xf numFmtId="9" fontId="9" fillId="0" borderId="11" xfId="0" applyNumberFormat="1" applyFont="1" applyBorder="1" applyAlignment="1">
      <alignment horizontal="center" vertical="center"/>
    </xf>
    <xf numFmtId="9" fontId="9" fillId="0" borderId="4" xfId="0" applyNumberFormat="1" applyFont="1" applyBorder="1" applyAlignment="1">
      <alignment horizontal="center" vertical="center"/>
    </xf>
    <xf numFmtId="1" fontId="12" fillId="0" borderId="11" xfId="0" applyNumberFormat="1" applyFont="1" applyBorder="1" applyAlignment="1">
      <alignment horizontal="center" vertical="center"/>
    </xf>
    <xf numFmtId="1" fontId="12" fillId="0" borderId="4" xfId="0" applyNumberFormat="1" applyFont="1" applyBorder="1" applyAlignment="1">
      <alignment horizontal="center" vertical="center"/>
    </xf>
    <xf numFmtId="0" fontId="9" fillId="0" borderId="11" xfId="0" applyFont="1" applyBorder="1" applyAlignment="1">
      <alignment horizontal="center" vertical="center"/>
    </xf>
    <xf numFmtId="0" fontId="9" fillId="0" borderId="4" xfId="0" applyFont="1" applyBorder="1" applyAlignment="1">
      <alignment horizontal="center" vertical="center"/>
    </xf>
    <xf numFmtId="9" fontId="13" fillId="2" borderId="12" xfId="0" applyNumberFormat="1" applyFont="1" applyFill="1" applyBorder="1" applyAlignment="1">
      <alignment horizontal="center" vertical="center"/>
    </xf>
    <xf numFmtId="9" fontId="13" fillId="2" borderId="1" xfId="0" applyNumberFormat="1" applyFont="1" applyFill="1" applyBorder="1" applyAlignment="1">
      <alignment horizontal="center" vertical="center"/>
    </xf>
    <xf numFmtId="9" fontId="13" fillId="2" borderId="2" xfId="0" applyNumberFormat="1" applyFont="1" applyFill="1" applyBorder="1" applyAlignment="1">
      <alignment horizontal="center" vertical="center"/>
    </xf>
    <xf numFmtId="1" fontId="12" fillId="2" borderId="12" xfId="0" applyNumberFormat="1" applyFont="1" applyFill="1" applyBorder="1" applyAlignment="1">
      <alignment horizontal="center" vertical="center"/>
    </xf>
    <xf numFmtId="1" fontId="12" fillId="2" borderId="1" xfId="0" applyNumberFormat="1" applyFont="1" applyFill="1" applyBorder="1" applyAlignment="1">
      <alignment horizontal="center" vertical="center"/>
    </xf>
    <xf numFmtId="1" fontId="12" fillId="2" borderId="2" xfId="0" applyNumberFormat="1" applyFont="1" applyFill="1" applyBorder="1" applyAlignment="1">
      <alignment horizontal="center" vertical="center"/>
    </xf>
    <xf numFmtId="0" fontId="9" fillId="2" borderId="12"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2" xfId="0" applyFont="1" applyFill="1" applyBorder="1" applyAlignment="1">
      <alignment horizontal="center" vertical="center"/>
    </xf>
    <xf numFmtId="9" fontId="9" fillId="2" borderId="12" xfId="0" applyNumberFormat="1" applyFont="1" applyFill="1" applyBorder="1" applyAlignment="1">
      <alignment horizontal="center" vertical="center" wrapText="1"/>
    </xf>
    <xf numFmtId="9" fontId="9" fillId="2" borderId="1" xfId="0" applyNumberFormat="1" applyFont="1" applyFill="1" applyBorder="1" applyAlignment="1">
      <alignment horizontal="center" vertical="center" wrapText="1"/>
    </xf>
    <xf numFmtId="9" fontId="9" fillId="2" borderId="17" xfId="0" applyNumberFormat="1" applyFont="1" applyFill="1" applyBorder="1" applyAlignment="1">
      <alignment horizontal="center" vertical="center" wrapText="1"/>
    </xf>
    <xf numFmtId="1" fontId="12" fillId="2" borderId="17" xfId="0" applyNumberFormat="1" applyFont="1" applyFill="1" applyBorder="1" applyAlignment="1">
      <alignment horizontal="center" vertical="center"/>
    </xf>
    <xf numFmtId="0" fontId="9" fillId="2" borderId="17" xfId="0" applyFont="1" applyFill="1" applyBorder="1" applyAlignment="1">
      <alignment horizontal="center" vertical="center"/>
    </xf>
    <xf numFmtId="0" fontId="8" fillId="0" borderId="7" xfId="0" applyFont="1" applyBorder="1" applyAlignment="1">
      <alignment horizontal="left" vertical="center"/>
    </xf>
    <xf numFmtId="0" fontId="8" fillId="0" borderId="6" xfId="0" applyFont="1" applyBorder="1" applyAlignment="1">
      <alignment horizontal="left" vertical="center"/>
    </xf>
    <xf numFmtId="0" fontId="10" fillId="0" borderId="9" xfId="0" applyFont="1" applyBorder="1" applyAlignment="1">
      <alignment horizontal="left"/>
    </xf>
    <xf numFmtId="0" fontId="10" fillId="0" borderId="8" xfId="0" applyFont="1" applyBorder="1" applyAlignment="1">
      <alignment horizontal="left"/>
    </xf>
    <xf numFmtId="0" fontId="9" fillId="2" borderId="11"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cellXfs>
  <cellStyles count="1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Salma Chahed" id="{0ABEE664-5CEE-45A6-95B6-1B2DF586DE7E}" userId="S::chaheds@westminster.ac.uk::d006fadf-a8a0-4f20-9548-e98e3b3566bd" providerId="AD"/>
  <person displayName="Sethmika Bellana" id="{A7735213-854E-4199-8661-AFA6E516E586}" userId="S::w1985751@westminster.ac.uk::547974c3-7faa-4063-952b-b6cc1cf3b6d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6" dT="2026-04-10T17:47:38.99" personId="{A7735213-854E-4199-8661-AFA6E516E586}" id="{0428B4F6-2C46-4BC2-AB40-BF47AE1E3D5A}">
    <text xml:space="preserve">Describe initial results of a literature survey on a selected research topic/application area related to your project subject.  Use relevant books, published research articles as well as Internet content for the purpose. Make use of in-text references to indicate your sources.
</text>
  </threadedComment>
  <threadedComment ref="F23" dT="2024-09-25T19:40:01.67" personId="{0ABEE664-5CEE-45A6-95B6-1B2DF586DE7E}" id="{9551E991-DB89-4CC6-A34B-B56E024238AF}">
    <text>Tick box if student attended viva</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
  <sheetViews>
    <sheetView tabSelected="1" topLeftCell="A17" zoomScale="80" zoomScaleNormal="80" zoomScalePageLayoutView="90" workbookViewId="0">
      <selection activeCell="D20" sqref="D20"/>
    </sheetView>
  </sheetViews>
  <sheetFormatPr defaultColWidth="8.85546875" defaultRowHeight="19.5" x14ac:dyDescent="0.3"/>
  <cols>
    <col min="1" max="1" width="55.5703125" style="3" bestFit="1" customWidth="1"/>
    <col min="2" max="2" width="23.42578125" style="3" customWidth="1"/>
    <col min="3" max="3" width="45.28515625" style="4" bestFit="1" customWidth="1"/>
    <col min="4" max="4" width="66" style="4" customWidth="1"/>
    <col min="5" max="5" width="13.140625" style="5" bestFit="1" customWidth="1"/>
    <col min="6" max="6" width="21.85546875" style="2" customWidth="1"/>
    <col min="7" max="7" width="20.5703125" style="2" customWidth="1"/>
    <col min="8" max="8" width="71.140625" style="8" customWidth="1"/>
    <col min="9" max="16384" width="8.85546875" style="1"/>
  </cols>
  <sheetData>
    <row r="1" spans="1:8" x14ac:dyDescent="0.3">
      <c r="A1" s="94" t="s">
        <v>40</v>
      </c>
      <c r="B1" s="95"/>
    </row>
    <row r="2" spans="1:8" x14ac:dyDescent="0.3">
      <c r="A2" s="96" t="s">
        <v>44</v>
      </c>
      <c r="B2" s="97"/>
    </row>
    <row r="3" spans="1:8" ht="44.45" customHeight="1" thickBot="1" x14ac:dyDescent="0.25">
      <c r="A3" s="14" t="s">
        <v>2</v>
      </c>
      <c r="B3" s="15" t="s">
        <v>43</v>
      </c>
      <c r="C3" s="15" t="s">
        <v>21</v>
      </c>
      <c r="D3" s="9" t="s">
        <v>22</v>
      </c>
      <c r="E3" s="10" t="s">
        <v>135</v>
      </c>
      <c r="F3" s="9" t="s">
        <v>133</v>
      </c>
      <c r="G3" s="15" t="s">
        <v>134</v>
      </c>
      <c r="H3" s="15" t="s">
        <v>42</v>
      </c>
    </row>
    <row r="4" spans="1:8" ht="14.45" customHeight="1" x14ac:dyDescent="0.2">
      <c r="A4" s="29" t="s">
        <v>1</v>
      </c>
      <c r="B4" s="98" t="s">
        <v>23</v>
      </c>
      <c r="C4" s="98" t="s">
        <v>23</v>
      </c>
      <c r="D4" s="66" t="s">
        <v>27</v>
      </c>
      <c r="E4" s="89">
        <v>0.1</v>
      </c>
      <c r="F4" s="83">
        <v>0</v>
      </c>
      <c r="G4" s="86">
        <f>F4*E4</f>
        <v>0</v>
      </c>
      <c r="H4" s="71"/>
    </row>
    <row r="5" spans="1:8" ht="18.75" x14ac:dyDescent="0.2">
      <c r="A5" s="31" t="s">
        <v>18</v>
      </c>
      <c r="B5" s="99"/>
      <c r="C5" s="99"/>
      <c r="D5" s="67"/>
      <c r="E5" s="90"/>
      <c r="F5" s="84"/>
      <c r="G5" s="87"/>
      <c r="H5" s="72"/>
    </row>
    <row r="6" spans="1:8" ht="18.75" x14ac:dyDescent="0.2">
      <c r="A6" s="31" t="s">
        <v>5</v>
      </c>
      <c r="B6" s="99"/>
      <c r="C6" s="99"/>
      <c r="D6" s="67"/>
      <c r="E6" s="90"/>
      <c r="F6" s="84"/>
      <c r="G6" s="87"/>
      <c r="H6" s="72"/>
    </row>
    <row r="7" spans="1:8" ht="18.75" x14ac:dyDescent="0.2">
      <c r="A7" s="31" t="s">
        <v>6</v>
      </c>
      <c r="B7" s="99"/>
      <c r="C7" s="99"/>
      <c r="D7" s="67"/>
      <c r="E7" s="90"/>
      <c r="F7" s="84"/>
      <c r="G7" s="87"/>
      <c r="H7" s="72"/>
    </row>
    <row r="8" spans="1:8" ht="18.75" x14ac:dyDescent="0.2">
      <c r="A8" s="31" t="s">
        <v>7</v>
      </c>
      <c r="B8" s="99"/>
      <c r="C8" s="99"/>
      <c r="D8" s="67"/>
      <c r="E8" s="90"/>
      <c r="F8" s="84"/>
      <c r="G8" s="87"/>
      <c r="H8" s="72"/>
    </row>
    <row r="9" spans="1:8" ht="18.75" x14ac:dyDescent="0.2">
      <c r="A9" s="31" t="s">
        <v>8</v>
      </c>
      <c r="B9" s="99"/>
      <c r="C9" s="99"/>
      <c r="D9" s="67"/>
      <c r="E9" s="90"/>
      <c r="F9" s="84"/>
      <c r="G9" s="87"/>
      <c r="H9" s="72"/>
    </row>
    <row r="10" spans="1:8" ht="18.75" x14ac:dyDescent="0.2">
      <c r="A10" s="31" t="s">
        <v>17</v>
      </c>
      <c r="B10" s="100"/>
      <c r="C10" s="100"/>
      <c r="D10" s="68"/>
      <c r="E10" s="90"/>
      <c r="F10" s="84"/>
      <c r="G10" s="87"/>
      <c r="H10" s="72"/>
    </row>
    <row r="11" spans="1:8" ht="45" customHeight="1" x14ac:dyDescent="0.2">
      <c r="A11" s="31" t="s">
        <v>9</v>
      </c>
      <c r="B11" s="32" t="s">
        <v>23</v>
      </c>
      <c r="C11" s="33" t="s">
        <v>23</v>
      </c>
      <c r="D11" s="34" t="s">
        <v>32</v>
      </c>
      <c r="E11" s="90"/>
      <c r="F11" s="84"/>
      <c r="G11" s="87"/>
      <c r="H11" s="72"/>
    </row>
    <row r="12" spans="1:8" ht="53.45" customHeight="1" x14ac:dyDescent="0.2">
      <c r="A12" s="31" t="s">
        <v>16</v>
      </c>
      <c r="B12" s="32" t="s">
        <v>23</v>
      </c>
      <c r="C12" s="32" t="s">
        <v>23</v>
      </c>
      <c r="D12" s="35" t="s">
        <v>28</v>
      </c>
      <c r="E12" s="90"/>
      <c r="F12" s="84"/>
      <c r="G12" s="87"/>
      <c r="H12" s="72"/>
    </row>
    <row r="13" spans="1:8" ht="61.5" customHeight="1" x14ac:dyDescent="0.2">
      <c r="A13" s="31" t="s">
        <v>19</v>
      </c>
      <c r="B13" s="32" t="s">
        <v>23</v>
      </c>
      <c r="C13" s="32" t="s">
        <v>23</v>
      </c>
      <c r="D13" s="35" t="s">
        <v>29</v>
      </c>
      <c r="E13" s="90"/>
      <c r="F13" s="84"/>
      <c r="G13" s="87"/>
      <c r="H13" s="72"/>
    </row>
    <row r="14" spans="1:8" ht="87.6" customHeight="1" thickBot="1" x14ac:dyDescent="0.25">
      <c r="A14" s="36" t="s">
        <v>4</v>
      </c>
      <c r="B14" s="37" t="s">
        <v>23</v>
      </c>
      <c r="C14" s="38" t="s">
        <v>23</v>
      </c>
      <c r="D14" s="39" t="s">
        <v>136</v>
      </c>
      <c r="E14" s="91"/>
      <c r="F14" s="92"/>
      <c r="G14" s="93"/>
      <c r="H14" s="73"/>
    </row>
    <row r="15" spans="1:8" ht="68.45" customHeight="1" x14ac:dyDescent="0.2">
      <c r="A15" s="16" t="s">
        <v>14</v>
      </c>
      <c r="B15" s="22">
        <v>800</v>
      </c>
      <c r="C15" s="23" t="s">
        <v>24</v>
      </c>
      <c r="D15" s="24" t="s">
        <v>31</v>
      </c>
      <c r="E15" s="74">
        <v>0.4</v>
      </c>
      <c r="F15" s="76">
        <v>0</v>
      </c>
      <c r="G15" s="78">
        <f>F15*E15</f>
        <v>0</v>
      </c>
      <c r="H15" s="47"/>
    </row>
    <row r="16" spans="1:8" ht="112.5" x14ac:dyDescent="0.2">
      <c r="A16" s="17" t="s">
        <v>10</v>
      </c>
      <c r="B16" s="12">
        <v>2400</v>
      </c>
      <c r="C16" s="20" t="s">
        <v>25</v>
      </c>
      <c r="D16" s="13" t="s">
        <v>33</v>
      </c>
      <c r="E16" s="75"/>
      <c r="F16" s="77"/>
      <c r="G16" s="79"/>
      <c r="H16" s="48"/>
    </row>
    <row r="17" spans="1:8" ht="65.45" customHeight="1" x14ac:dyDescent="0.2">
      <c r="A17" s="25" t="s">
        <v>20</v>
      </c>
      <c r="B17" s="12">
        <v>800</v>
      </c>
      <c r="C17" s="20" t="s">
        <v>23</v>
      </c>
      <c r="D17" s="13" t="s">
        <v>34</v>
      </c>
      <c r="E17" s="75"/>
      <c r="F17" s="77"/>
      <c r="G17" s="79"/>
      <c r="H17" s="48"/>
    </row>
    <row r="18" spans="1:8" ht="56.1" customHeight="1" x14ac:dyDescent="0.2">
      <c r="A18" s="17" t="s">
        <v>11</v>
      </c>
      <c r="B18" s="12">
        <v>1500</v>
      </c>
      <c r="C18" s="20" t="s">
        <v>26</v>
      </c>
      <c r="D18" s="21" t="s">
        <v>35</v>
      </c>
      <c r="E18" s="75"/>
      <c r="F18" s="77"/>
      <c r="G18" s="79"/>
      <c r="H18" s="48"/>
    </row>
    <row r="19" spans="1:8" ht="113.1" customHeight="1" thickBot="1" x14ac:dyDescent="0.25">
      <c r="A19" s="49" t="s">
        <v>12</v>
      </c>
      <c r="B19" s="50">
        <v>1000</v>
      </c>
      <c r="C19" s="51" t="s">
        <v>23</v>
      </c>
      <c r="D19" s="52" t="s">
        <v>36</v>
      </c>
      <c r="E19" s="75"/>
      <c r="F19" s="77"/>
      <c r="G19" s="79"/>
      <c r="H19" s="53"/>
    </row>
    <row r="20" spans="1:8" ht="44.1" customHeight="1" x14ac:dyDescent="0.2">
      <c r="A20" s="29" t="s">
        <v>41</v>
      </c>
      <c r="B20" s="30">
        <v>500</v>
      </c>
      <c r="C20" s="40" t="s">
        <v>23</v>
      </c>
      <c r="D20" s="41" t="s">
        <v>37</v>
      </c>
      <c r="E20" s="80">
        <v>0.5</v>
      </c>
      <c r="F20" s="83">
        <v>0</v>
      </c>
      <c r="G20" s="86">
        <f>F20*E20</f>
        <v>0</v>
      </c>
      <c r="H20" s="45"/>
    </row>
    <row r="21" spans="1:8" ht="193.5" customHeight="1" x14ac:dyDescent="0.2">
      <c r="A21" s="31" t="s">
        <v>15</v>
      </c>
      <c r="B21" s="32">
        <v>2500</v>
      </c>
      <c r="C21" s="42" t="s">
        <v>23</v>
      </c>
      <c r="D21" s="34" t="s">
        <v>38</v>
      </c>
      <c r="E21" s="81"/>
      <c r="F21" s="84"/>
      <c r="G21" s="87"/>
      <c r="H21" s="46"/>
    </row>
    <row r="22" spans="1:8" ht="42" customHeight="1" thickBot="1" x14ac:dyDescent="0.25">
      <c r="A22" s="54" t="s">
        <v>137</v>
      </c>
      <c r="B22" s="55">
        <v>2000</v>
      </c>
      <c r="C22" s="56" t="s">
        <v>23</v>
      </c>
      <c r="D22" s="57" t="s">
        <v>39</v>
      </c>
      <c r="E22" s="82"/>
      <c r="F22" s="85"/>
      <c r="G22" s="88"/>
      <c r="H22" s="58"/>
    </row>
    <row r="23" spans="1:8" ht="42" customHeight="1" thickBot="1" x14ac:dyDescent="0.25">
      <c r="A23" s="59" t="s">
        <v>131</v>
      </c>
      <c r="B23" s="60"/>
      <c r="C23" s="61"/>
      <c r="D23" s="62" t="s">
        <v>132</v>
      </c>
      <c r="E23" s="63">
        <v>0</v>
      </c>
      <c r="F23" s="64" t="b">
        <v>0</v>
      </c>
      <c r="G23" s="60"/>
      <c r="H23" s="65"/>
    </row>
    <row r="24" spans="1:8" x14ac:dyDescent="0.3">
      <c r="A24" s="26" t="s">
        <v>0</v>
      </c>
      <c r="B24" s="27">
        <f>SUM(B15:B22)</f>
        <v>11500</v>
      </c>
      <c r="C24" s="1"/>
      <c r="D24" s="11"/>
      <c r="E24" s="6">
        <f>SUM(E4:E22)</f>
        <v>1</v>
      </c>
      <c r="F24" s="28" t="s">
        <v>3</v>
      </c>
      <c r="G24" s="28">
        <f>IF(F23=TRUE,ROUND(SUM(G4:G22),0),0)</f>
        <v>0</v>
      </c>
    </row>
    <row r="29" spans="1:8" x14ac:dyDescent="0.3">
      <c r="A29" s="1"/>
      <c r="B29" s="1"/>
      <c r="E29" s="6"/>
    </row>
    <row r="30" spans="1:8" x14ac:dyDescent="0.3">
      <c r="E30" s="7"/>
    </row>
    <row r="31" spans="1:8" x14ac:dyDescent="0.3">
      <c r="E31" s="7"/>
    </row>
    <row r="32" spans="1:8" x14ac:dyDescent="0.3">
      <c r="E32" s="7"/>
    </row>
  </sheetData>
  <mergeCells count="15">
    <mergeCell ref="A1:B1"/>
    <mergeCell ref="A2:B2"/>
    <mergeCell ref="C4:C10"/>
    <mergeCell ref="D4:D10"/>
    <mergeCell ref="B4:B10"/>
    <mergeCell ref="H4:H14"/>
    <mergeCell ref="E15:E19"/>
    <mergeCell ref="F15:F19"/>
    <mergeCell ref="G15:G19"/>
    <mergeCell ref="E20:E22"/>
    <mergeCell ref="F20:F22"/>
    <mergeCell ref="G20:G22"/>
    <mergeCell ref="E4:E14"/>
    <mergeCell ref="F4:F14"/>
    <mergeCell ref="G4:G14"/>
  </mergeCells>
  <pageMargins left="0.7" right="0.7" top="0.75" bottom="0.75" header="0.3" footer="0.3"/>
  <pageSetup paperSize="9" orientation="portrait" horizontalDpi="4294967292" verticalDpi="4294967292"/>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7ABEF-680A-4D67-BF87-0FDE4B360C73}">
  <dimension ref="A1:H31"/>
  <sheetViews>
    <sheetView zoomScale="80" zoomScaleNormal="80" zoomScalePageLayoutView="90" workbookViewId="0">
      <selection activeCell="A16" sqref="A16"/>
    </sheetView>
  </sheetViews>
  <sheetFormatPr defaultColWidth="8.85546875" defaultRowHeight="19.5" x14ac:dyDescent="0.3"/>
  <cols>
    <col min="1" max="1" width="55.5703125" style="3" bestFit="1" customWidth="1"/>
    <col min="2" max="2" width="66" style="4" customWidth="1"/>
    <col min="3" max="3" width="35.5703125" style="5" customWidth="1"/>
    <col min="4" max="4" width="35.5703125" style="2" customWidth="1"/>
    <col min="5" max="5" width="35.5703125" style="8" customWidth="1"/>
    <col min="6" max="8" width="35.5703125" style="1" customWidth="1"/>
    <col min="9" max="16384" width="8.85546875" style="1"/>
  </cols>
  <sheetData>
    <row r="1" spans="1:8" x14ac:dyDescent="0.3">
      <c r="A1" s="43" t="s">
        <v>40</v>
      </c>
    </row>
    <row r="2" spans="1:8" ht="19.5" customHeight="1" x14ac:dyDescent="0.3">
      <c r="A2" s="44" t="s">
        <v>44</v>
      </c>
      <c r="C2" s="69" t="s">
        <v>45</v>
      </c>
      <c r="D2" s="70"/>
      <c r="E2" s="70"/>
      <c r="F2" s="70"/>
      <c r="G2" s="70"/>
      <c r="H2" s="70"/>
    </row>
    <row r="3" spans="1:8" ht="44.45" customHeight="1" thickBot="1" x14ac:dyDescent="0.25">
      <c r="A3" s="14" t="s">
        <v>2</v>
      </c>
      <c r="B3" s="9" t="s">
        <v>22</v>
      </c>
      <c r="C3" s="9" t="s">
        <v>46</v>
      </c>
      <c r="D3" s="9" t="s">
        <v>47</v>
      </c>
      <c r="E3" s="9" t="s">
        <v>48</v>
      </c>
      <c r="F3" s="9" t="s">
        <v>49</v>
      </c>
      <c r="G3" s="9" t="s">
        <v>50</v>
      </c>
      <c r="H3" s="9" t="s">
        <v>51</v>
      </c>
    </row>
    <row r="4" spans="1:8" ht="14.45" customHeight="1" x14ac:dyDescent="0.2">
      <c r="A4" s="29" t="s">
        <v>1</v>
      </c>
      <c r="B4" s="66" t="s">
        <v>27</v>
      </c>
      <c r="C4" s="66" t="s">
        <v>86</v>
      </c>
      <c r="D4" s="66" t="s">
        <v>87</v>
      </c>
      <c r="E4" s="66" t="s">
        <v>88</v>
      </c>
      <c r="F4" s="66" t="s">
        <v>89</v>
      </c>
      <c r="G4" s="66" t="s">
        <v>90</v>
      </c>
      <c r="H4" s="66" t="s">
        <v>52</v>
      </c>
    </row>
    <row r="5" spans="1:8" ht="18.75" x14ac:dyDescent="0.2">
      <c r="A5" s="31" t="s">
        <v>18</v>
      </c>
      <c r="B5" s="67"/>
      <c r="C5" s="67"/>
      <c r="D5" s="67"/>
      <c r="E5" s="67"/>
      <c r="F5" s="67"/>
      <c r="G5" s="67"/>
      <c r="H5" s="67"/>
    </row>
    <row r="6" spans="1:8" ht="18.75" x14ac:dyDescent="0.2">
      <c r="A6" s="31" t="s">
        <v>5</v>
      </c>
      <c r="B6" s="67"/>
      <c r="C6" s="67"/>
      <c r="D6" s="67"/>
      <c r="E6" s="67"/>
      <c r="F6" s="67"/>
      <c r="G6" s="67"/>
      <c r="H6" s="67"/>
    </row>
    <row r="7" spans="1:8" ht="18.75" x14ac:dyDescent="0.2">
      <c r="A7" s="31" t="s">
        <v>6</v>
      </c>
      <c r="B7" s="67"/>
      <c r="C7" s="67"/>
      <c r="D7" s="67"/>
      <c r="E7" s="67"/>
      <c r="F7" s="67"/>
      <c r="G7" s="67"/>
      <c r="H7" s="67"/>
    </row>
    <row r="8" spans="1:8" ht="18.75" x14ac:dyDescent="0.2">
      <c r="A8" s="31" t="s">
        <v>7</v>
      </c>
      <c r="B8" s="67"/>
      <c r="C8" s="67"/>
      <c r="D8" s="67"/>
      <c r="E8" s="67"/>
      <c r="F8" s="67"/>
      <c r="G8" s="67"/>
      <c r="H8" s="67"/>
    </row>
    <row r="9" spans="1:8" ht="18.75" x14ac:dyDescent="0.2">
      <c r="A9" s="31" t="s">
        <v>8</v>
      </c>
      <c r="B9" s="67"/>
      <c r="C9" s="67"/>
      <c r="D9" s="67"/>
      <c r="E9" s="67"/>
      <c r="F9" s="67"/>
      <c r="G9" s="67"/>
      <c r="H9" s="67"/>
    </row>
    <row r="10" spans="1:8" ht="18.75" x14ac:dyDescent="0.2">
      <c r="A10" s="31" t="s">
        <v>17</v>
      </c>
      <c r="B10" s="68"/>
      <c r="C10" s="68"/>
      <c r="D10" s="68"/>
      <c r="E10" s="68"/>
      <c r="F10" s="68"/>
      <c r="G10" s="68"/>
      <c r="H10" s="68"/>
    </row>
    <row r="11" spans="1:8" ht="72.599999999999994" customHeight="1" x14ac:dyDescent="0.2">
      <c r="A11" s="31" t="s">
        <v>9</v>
      </c>
      <c r="B11" s="34" t="s">
        <v>32</v>
      </c>
      <c r="C11" s="34" t="s">
        <v>91</v>
      </c>
      <c r="D11" s="34" t="s">
        <v>53</v>
      </c>
      <c r="E11" s="34" t="s">
        <v>92</v>
      </c>
      <c r="F11" s="34" t="s">
        <v>93</v>
      </c>
      <c r="G11" s="34" t="s">
        <v>94</v>
      </c>
      <c r="H11" s="34" t="s">
        <v>95</v>
      </c>
    </row>
    <row r="12" spans="1:8" ht="72" customHeight="1" x14ac:dyDescent="0.2">
      <c r="A12" s="31" t="s">
        <v>16</v>
      </c>
      <c r="B12" s="35" t="s">
        <v>28</v>
      </c>
      <c r="C12" s="35" t="s">
        <v>96</v>
      </c>
      <c r="D12" s="35" t="s">
        <v>97</v>
      </c>
      <c r="E12" s="35" t="s">
        <v>98</v>
      </c>
      <c r="F12" s="35" t="s">
        <v>99</v>
      </c>
      <c r="G12" s="35" t="s">
        <v>100</v>
      </c>
      <c r="H12" s="35" t="s">
        <v>101</v>
      </c>
    </row>
    <row r="13" spans="1:8" ht="61.5" customHeight="1" x14ac:dyDescent="0.2">
      <c r="A13" s="31" t="s">
        <v>19</v>
      </c>
      <c r="B13" s="35" t="s">
        <v>29</v>
      </c>
      <c r="C13" s="35" t="s">
        <v>54</v>
      </c>
      <c r="D13" s="35" t="s">
        <v>55</v>
      </c>
      <c r="E13" s="35" t="s">
        <v>102</v>
      </c>
      <c r="F13" s="35" t="s">
        <v>56</v>
      </c>
      <c r="G13" s="35" t="s">
        <v>57</v>
      </c>
      <c r="H13" s="35" t="s">
        <v>58</v>
      </c>
    </row>
    <row r="14" spans="1:8" ht="87.6" customHeight="1" thickBot="1" x14ac:dyDescent="0.25">
      <c r="A14" s="36" t="s">
        <v>4</v>
      </c>
      <c r="B14" s="39" t="s">
        <v>30</v>
      </c>
      <c r="C14" s="39" t="s">
        <v>103</v>
      </c>
      <c r="D14" s="39" t="s">
        <v>104</v>
      </c>
      <c r="E14" s="39" t="s">
        <v>105</v>
      </c>
      <c r="F14" s="39" t="s">
        <v>106</v>
      </c>
      <c r="G14" s="39" t="s">
        <v>107</v>
      </c>
      <c r="H14" s="39" t="s">
        <v>108</v>
      </c>
    </row>
    <row r="15" spans="1:8" ht="97.5" customHeight="1" x14ac:dyDescent="0.2">
      <c r="A15" s="16" t="s">
        <v>14</v>
      </c>
      <c r="B15" s="24" t="s">
        <v>31</v>
      </c>
      <c r="C15" s="24" t="s">
        <v>109</v>
      </c>
      <c r="D15" s="24" t="s">
        <v>110</v>
      </c>
      <c r="E15" s="24" t="s">
        <v>111</v>
      </c>
      <c r="F15" s="24" t="s">
        <v>112</v>
      </c>
      <c r="G15" s="24" t="s">
        <v>113</v>
      </c>
      <c r="H15" s="24" t="s">
        <v>114</v>
      </c>
    </row>
    <row r="16" spans="1:8" ht="97.5" customHeight="1" x14ac:dyDescent="0.2">
      <c r="A16" s="17" t="s">
        <v>10</v>
      </c>
      <c r="B16" s="13" t="s">
        <v>33</v>
      </c>
      <c r="C16" s="13" t="s">
        <v>59</v>
      </c>
      <c r="D16" s="13" t="s">
        <v>115</v>
      </c>
      <c r="E16" s="13" t="s">
        <v>116</v>
      </c>
      <c r="F16" s="13" t="s">
        <v>117</v>
      </c>
      <c r="G16" s="13" t="s">
        <v>118</v>
      </c>
      <c r="H16" s="13" t="s">
        <v>119</v>
      </c>
    </row>
    <row r="17" spans="1:8" ht="80.099999999999994" customHeight="1" x14ac:dyDescent="0.2">
      <c r="A17" s="25" t="s">
        <v>20</v>
      </c>
      <c r="B17" s="13" t="s">
        <v>34</v>
      </c>
      <c r="C17" s="13" t="s">
        <v>120</v>
      </c>
      <c r="D17" s="13" t="s">
        <v>121</v>
      </c>
      <c r="E17" s="13" t="s">
        <v>122</v>
      </c>
      <c r="F17" s="13" t="s">
        <v>123</v>
      </c>
      <c r="G17" s="13" t="s">
        <v>124</v>
      </c>
      <c r="H17" s="13" t="s">
        <v>125</v>
      </c>
    </row>
    <row r="18" spans="1:8" ht="81.599999999999994" customHeight="1" x14ac:dyDescent="0.2">
      <c r="A18" s="17" t="s">
        <v>11</v>
      </c>
      <c r="B18" s="21" t="s">
        <v>35</v>
      </c>
      <c r="C18" s="21" t="s">
        <v>60</v>
      </c>
      <c r="D18" s="21" t="s">
        <v>126</v>
      </c>
      <c r="E18" s="21" t="s">
        <v>61</v>
      </c>
      <c r="F18" s="21" t="s">
        <v>127</v>
      </c>
      <c r="G18" s="21" t="s">
        <v>128</v>
      </c>
      <c r="H18" s="21" t="s">
        <v>129</v>
      </c>
    </row>
    <row r="19" spans="1:8" ht="125.1" customHeight="1" thickBot="1" x14ac:dyDescent="0.25">
      <c r="A19" s="18" t="s">
        <v>12</v>
      </c>
      <c r="B19" s="19" t="s">
        <v>62</v>
      </c>
      <c r="C19" s="19" t="s">
        <v>63</v>
      </c>
      <c r="D19" s="19" t="s">
        <v>64</v>
      </c>
      <c r="E19" s="19" t="s">
        <v>65</v>
      </c>
      <c r="F19" s="19" t="s">
        <v>66</v>
      </c>
      <c r="G19" s="19" t="s">
        <v>67</v>
      </c>
      <c r="H19" s="19" t="s">
        <v>68</v>
      </c>
    </row>
    <row r="20" spans="1:8" ht="44.1" customHeight="1" x14ac:dyDescent="0.2">
      <c r="A20" s="29" t="s">
        <v>41</v>
      </c>
      <c r="B20" s="41" t="s">
        <v>37</v>
      </c>
      <c r="C20" s="41" t="s">
        <v>69</v>
      </c>
      <c r="D20" s="41" t="s">
        <v>70</v>
      </c>
      <c r="E20" s="41" t="s">
        <v>71</v>
      </c>
      <c r="F20" s="41" t="s">
        <v>130</v>
      </c>
      <c r="G20" s="41" t="s">
        <v>72</v>
      </c>
      <c r="H20" s="41" t="s">
        <v>73</v>
      </c>
    </row>
    <row r="21" spans="1:8" ht="193.5" customHeight="1" x14ac:dyDescent="0.2">
      <c r="A21" s="31" t="s">
        <v>15</v>
      </c>
      <c r="B21" s="34" t="s">
        <v>38</v>
      </c>
      <c r="C21" s="34" t="s">
        <v>74</v>
      </c>
      <c r="D21" s="34" t="s">
        <v>76</v>
      </c>
      <c r="E21" s="34" t="s">
        <v>75</v>
      </c>
      <c r="F21" s="34" t="s">
        <v>77</v>
      </c>
      <c r="G21" s="34" t="s">
        <v>78</v>
      </c>
      <c r="H21" s="34" t="s">
        <v>79</v>
      </c>
    </row>
    <row r="22" spans="1:8" ht="60.75" thickBot="1" x14ac:dyDescent="0.25">
      <c r="A22" s="36" t="s">
        <v>13</v>
      </c>
      <c r="B22" s="39" t="s">
        <v>39</v>
      </c>
      <c r="C22" s="39" t="s">
        <v>80</v>
      </c>
      <c r="D22" s="39" t="s">
        <v>81</v>
      </c>
      <c r="E22" s="39" t="s">
        <v>82</v>
      </c>
      <c r="F22" s="39" t="s">
        <v>83</v>
      </c>
      <c r="G22" s="39" t="s">
        <v>84</v>
      </c>
      <c r="H22" s="39" t="s">
        <v>85</v>
      </c>
    </row>
    <row r="23" spans="1:8" x14ac:dyDescent="0.25">
      <c r="A23" s="26" t="s">
        <v>0</v>
      </c>
      <c r="B23" s="11"/>
      <c r="C23"/>
      <c r="D23"/>
      <c r="E23"/>
      <c r="F23"/>
      <c r="G23"/>
      <c r="H23"/>
    </row>
    <row r="28" spans="1:8" x14ac:dyDescent="0.3">
      <c r="A28" s="1"/>
      <c r="C28" s="6"/>
    </row>
    <row r="29" spans="1:8" x14ac:dyDescent="0.3">
      <c r="C29" s="7"/>
    </row>
    <row r="30" spans="1:8" x14ac:dyDescent="0.3">
      <c r="C30" s="7"/>
    </row>
    <row r="31" spans="1:8" x14ac:dyDescent="0.3">
      <c r="C31" s="7"/>
    </row>
  </sheetData>
  <mergeCells count="8">
    <mergeCell ref="C4:C10"/>
    <mergeCell ref="B4:B10"/>
    <mergeCell ref="C2:H2"/>
    <mergeCell ref="G4:G10"/>
    <mergeCell ref="H4:H10"/>
    <mergeCell ref="D4:D10"/>
    <mergeCell ref="E4:E10"/>
    <mergeCell ref="F4:F10"/>
  </mergeCells>
  <pageMargins left="0.7" right="0.7" top="0.75" bottom="0.75" header="0.3" footer="0.3"/>
  <pageSetup paperSize="9"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MarkingForm</vt:lpstr>
      <vt:lpstr>Rubrics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Daphne Economou</dc:creator>
  <cp:lastModifiedBy>Sethmika Bellana</cp:lastModifiedBy>
  <dcterms:created xsi:type="dcterms:W3CDTF">2018-08-01T08:15:53Z</dcterms:created>
  <dcterms:modified xsi:type="dcterms:W3CDTF">2026-04-14T17:44:38Z</dcterms:modified>
</cp:coreProperties>
</file>